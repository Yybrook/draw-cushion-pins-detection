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_Creativity\02_Projects\PinsErrorProof\pins-error-proof\Software\Pins-Ctrl\PinsCtrlData\Temp\Cards\"/>
    </mc:Choice>
  </mc:AlternateContent>
  <xr:revisionPtr revIDLastSave="0" documentId="13_ncr:1_{82BA323D-D09D-49AB-8B8B-0F1D9632643D}" xr6:coauthVersionLast="47" xr6:coauthVersionMax="47" xr10:uidLastSave="{00000000-0000-0000-0000-000000000000}"/>
  <bookViews>
    <workbookView xWindow="-110" yWindow="-110" windowWidth="25820" windowHeight="15500" tabRatio="712" xr2:uid="{00000000-000D-0000-FFFF-FFFF00000000}"/>
  </bookViews>
  <sheets>
    <sheet name="（单动-高速压机OP20）" sheetId="23" r:id="rId1"/>
    <sheet name="单动-高速压机OP30" sheetId="26" r:id="rId2"/>
    <sheet name="单动-高速压机OP40" sheetId="27" r:id="rId3"/>
    <sheet name="单动-高速压机OP50" sheetId="28" r:id="rId4"/>
    <sheet name="单动-高速压机OP60" sheetId="31" r:id="rId5"/>
  </sheets>
  <definedNames>
    <definedName name="_xlnm.Print_Area" localSheetId="0">'（单动-高速压机OP20）'!$A$1:$BF$61</definedName>
    <definedName name="_xlnm.Print_Area" localSheetId="1">'单动-高速压机OP30'!$A$1:$BF$55</definedName>
    <definedName name="_xlnm.Print_Area" localSheetId="2">'单动-高速压机OP40'!$A$1:$BF$55</definedName>
    <definedName name="_xlnm.Print_Area" localSheetId="3">'单动-高速压机OP50'!$A$1:$BF$55</definedName>
    <definedName name="_xlnm.Print_Area" localSheetId="4">'单动-高速压机OP60'!$A$1:$BF$55</definedName>
  </definedNames>
  <calcPr calcId="181029"/>
</workbook>
</file>

<file path=xl/calcChain.xml><?xml version="1.0" encoding="utf-8"?>
<calcChain xmlns="http://schemas.openxmlformats.org/spreadsheetml/2006/main">
  <c r="AB25" i="26" l="1"/>
  <c r="Y25" i="26"/>
  <c r="Q25" i="26"/>
  <c r="N25" i="26"/>
  <c r="AD24" i="26"/>
  <c r="AC24" i="26"/>
  <c r="AB24" i="26"/>
  <c r="AA24" i="26"/>
  <c r="Y24" i="26"/>
  <c r="Q24" i="26"/>
  <c r="O24" i="26"/>
  <c r="N24" i="26"/>
  <c r="M24" i="26"/>
  <c r="L24" i="26"/>
  <c r="AF14" i="26"/>
  <c r="AD14" i="26"/>
  <c r="AC14" i="26"/>
  <c r="AB14" i="26"/>
  <c r="AA14" i="26"/>
  <c r="Y14" i="26"/>
  <c r="Q14" i="26"/>
  <c r="O14" i="26"/>
  <c r="N14" i="26"/>
  <c r="M14" i="26"/>
  <c r="L14" i="26"/>
  <c r="AB13" i="26"/>
  <c r="Y13" i="26"/>
  <c r="Q13" i="26"/>
  <c r="N13" i="26"/>
  <c r="AB25" i="27"/>
  <c r="Y25" i="27"/>
  <c r="Q25" i="27"/>
  <c r="N25" i="27"/>
  <c r="AD24" i="27"/>
  <c r="AC24" i="27"/>
  <c r="AB24" i="27"/>
  <c r="AA24" i="27"/>
  <c r="Y24" i="27"/>
  <c r="Q24" i="27"/>
  <c r="O24" i="27"/>
  <c r="N24" i="27"/>
  <c r="M24" i="27"/>
  <c r="L24" i="27"/>
  <c r="AF14" i="27"/>
  <c r="AD14" i="27"/>
  <c r="AC14" i="27"/>
  <c r="AB14" i="27"/>
  <c r="AA14" i="27"/>
  <c r="Y14" i="27"/>
  <c r="Q14" i="27"/>
  <c r="O14" i="27"/>
  <c r="N14" i="27"/>
  <c r="M14" i="27"/>
  <c r="L14" i="27"/>
  <c r="AB13" i="27"/>
  <c r="Y13" i="27"/>
  <c r="Q13" i="27"/>
  <c r="N13" i="27"/>
  <c r="AB25" i="28"/>
  <c r="Y25" i="28"/>
  <c r="Q25" i="28"/>
  <c r="N25" i="28"/>
  <c r="AD24" i="28"/>
  <c r="AC24" i="28"/>
  <c r="AB24" i="28"/>
  <c r="AA24" i="28"/>
  <c r="Y24" i="28"/>
  <c r="Q24" i="28"/>
  <c r="O24" i="28"/>
  <c r="N24" i="28"/>
  <c r="M24" i="28"/>
  <c r="L24" i="28"/>
  <c r="AF14" i="28"/>
  <c r="AD14" i="28"/>
  <c r="AC14" i="28"/>
  <c r="AB14" i="28"/>
  <c r="AA14" i="28"/>
  <c r="Y14" i="28"/>
  <c r="Q14" i="28"/>
  <c r="O14" i="28"/>
  <c r="N14" i="28"/>
  <c r="M14" i="28"/>
  <c r="L14" i="28"/>
  <c r="AB13" i="28"/>
  <c r="Y13" i="28"/>
  <c r="Q13" i="28"/>
  <c r="N13" i="28"/>
  <c r="AB25" i="31"/>
  <c r="Y25" i="31"/>
  <c r="Q25" i="31"/>
  <c r="N25" i="31"/>
  <c r="AD24" i="31"/>
  <c r="AC24" i="31"/>
  <c r="AB24" i="31"/>
  <c r="AA24" i="31"/>
  <c r="Y24" i="31"/>
  <c r="Q24" i="31"/>
  <c r="O24" i="31"/>
  <c r="N24" i="31"/>
  <c r="M24" i="31"/>
  <c r="L24" i="31"/>
  <c r="AF14" i="31"/>
  <c r="AD14" i="31"/>
  <c r="AC14" i="31"/>
  <c r="AB14" i="31"/>
  <c r="AA14" i="31"/>
  <c r="Y14" i="31"/>
  <c r="Q14" i="31"/>
  <c r="O14" i="31"/>
  <c r="N14" i="31"/>
  <c r="M14" i="31"/>
  <c r="L14" i="31"/>
  <c r="AB13" i="31"/>
  <c r="Y13" i="31"/>
  <c r="Q13" i="31"/>
  <c r="N13" i="31"/>
  <c r="AL3" i="31" l="1"/>
  <c r="W3" i="31"/>
  <c r="AL3" i="28"/>
  <c r="W3" i="28"/>
  <c r="AL3" i="27"/>
  <c r="AL3" i="26"/>
  <c r="W3" i="26"/>
  <c r="W3" i="27"/>
  <c r="I3" i="31"/>
  <c r="D46" i="31" s="1"/>
  <c r="I3" i="28"/>
  <c r="D46" i="28" s="1"/>
  <c r="I3" i="27"/>
  <c r="D45" i="27" s="1"/>
  <c r="D45" i="28" l="1"/>
  <c r="D46" i="27"/>
  <c r="D45" i="31"/>
  <c r="I3" i="26"/>
  <c r="D46" i="26" l="1"/>
  <c r="D45" i="26"/>
  <c r="D52" i="23"/>
  <c r="D51" i="23"/>
</calcChain>
</file>

<file path=xl/sharedStrings.xml><?xml version="1.0" encoding="utf-8"?>
<sst xmlns="http://schemas.openxmlformats.org/spreadsheetml/2006/main" count="3068" uniqueCount="307">
  <si>
    <t>版本</t>
  </si>
  <si>
    <t>零件号</t>
  </si>
  <si>
    <t>零件名称</t>
  </si>
  <si>
    <t>工序号</t>
  </si>
  <si>
    <t>本工序模具参数</t>
    <phoneticPr fontId="5" type="noConversion"/>
  </si>
  <si>
    <t>模具编号</t>
    <phoneticPr fontId="5" type="noConversion"/>
  </si>
  <si>
    <t xml:space="preserve">                      压机
形式        </t>
    <phoneticPr fontId="5" type="noConversion"/>
  </si>
  <si>
    <t>舒勒</t>
  </si>
  <si>
    <t>模具名称</t>
    <phoneticPr fontId="5" type="noConversion"/>
  </si>
  <si>
    <t>/</t>
    <phoneticPr fontId="5" type="noConversion"/>
  </si>
  <si>
    <t>模具总重量</t>
    <phoneticPr fontId="5" type="noConversion"/>
  </si>
  <si>
    <t xml:space="preserve">T </t>
    <phoneticPr fontId="5" type="noConversion"/>
  </si>
  <si>
    <t>上模重量</t>
    <phoneticPr fontId="5" type="noConversion"/>
  </si>
  <si>
    <t>撑头形式及数量</t>
    <phoneticPr fontId="5" type="noConversion"/>
  </si>
  <si>
    <t>闭合高度</t>
    <phoneticPr fontId="5" type="noConversion"/>
  </si>
  <si>
    <t>装模高度</t>
    <phoneticPr fontId="5" type="noConversion"/>
  </si>
  <si>
    <t>图例</t>
    <phoneticPr fontId="5" type="noConversion"/>
  </si>
  <si>
    <t>◎</t>
    <phoneticPr fontId="5" type="noConversion"/>
  </si>
  <si>
    <t>定位销</t>
    <phoneticPr fontId="5" type="noConversion"/>
  </si>
  <si>
    <t>●</t>
    <phoneticPr fontId="5" type="noConversion"/>
  </si>
  <si>
    <t>顶棒</t>
    <phoneticPr fontId="5" type="noConversion"/>
  </si>
  <si>
    <t>图例</t>
  </si>
  <si>
    <t>顶棒</t>
  </si>
  <si>
    <t xml:space="preserve">滑块气垫顶棒分布图
</t>
    <phoneticPr fontId="5" type="noConversion"/>
  </si>
  <si>
    <t>滑块顶棒数量</t>
    <phoneticPr fontId="5" type="noConversion"/>
  </si>
  <si>
    <t>备注</t>
    <phoneticPr fontId="5" type="noConversion"/>
  </si>
  <si>
    <t>本工序的操作方法</t>
    <phoneticPr fontId="5" type="noConversion"/>
  </si>
  <si>
    <t>产品装箱型号</t>
  </si>
  <si>
    <t>装箱数</t>
  </si>
  <si>
    <t>编制：</t>
    <phoneticPr fontId="5" type="noConversion"/>
  </si>
  <si>
    <t>审核：</t>
    <phoneticPr fontId="5" type="noConversion"/>
  </si>
  <si>
    <t>批准：</t>
    <phoneticPr fontId="5" type="noConversion"/>
  </si>
  <si>
    <t>○</t>
  </si>
  <si>
    <t>本工序使用的工装</t>
    <phoneticPr fontId="5" type="noConversion"/>
  </si>
  <si>
    <t xml:space="preserve">使用压机吨位 </t>
    <phoneticPr fontId="5" type="noConversion"/>
  </si>
  <si>
    <t>压机平衡缸压力</t>
    <phoneticPr fontId="5" type="noConversion"/>
  </si>
  <si>
    <t>生产线</t>
    <phoneticPr fontId="5" type="noConversion"/>
  </si>
  <si>
    <t>上料手</t>
    <phoneticPr fontId="2" type="noConversion"/>
  </si>
  <si>
    <t>下料手</t>
    <phoneticPr fontId="2" type="noConversion"/>
  </si>
  <si>
    <t>本工序用料情况</t>
    <phoneticPr fontId="2" type="noConversion"/>
  </si>
  <si>
    <t>原材料规格</t>
  </si>
  <si>
    <t>材料牌号</t>
  </si>
  <si>
    <t>已认可供货商</t>
    <phoneticPr fontId="2" type="noConversion"/>
  </si>
  <si>
    <t>料片架堆料定位图</t>
    <phoneticPr fontId="2" type="noConversion"/>
  </si>
  <si>
    <t>↑</t>
  </si>
  <si>
    <t>送
料方向</t>
    <phoneticPr fontId="2" type="noConversion"/>
  </si>
  <si>
    <t>T</t>
    <phoneticPr fontId="2" type="noConversion"/>
  </si>
  <si>
    <t>是否使用闭锁</t>
    <phoneticPr fontId="2" type="noConversion"/>
  </si>
  <si>
    <t>送料方向</t>
    <phoneticPr fontId="2" type="noConversion"/>
  </si>
  <si>
    <t>上模夹紧形式及数量</t>
    <phoneticPr fontId="5" type="noConversion"/>
  </si>
  <si>
    <t>下模夹紧形式及数量</t>
    <phoneticPr fontId="5" type="noConversion"/>
  </si>
  <si>
    <t>拉伸垫顶棒数量</t>
    <phoneticPr fontId="2" type="noConversion"/>
  </si>
  <si>
    <t>批准：</t>
    <phoneticPr fontId="5" type="noConversion"/>
  </si>
  <si>
    <t>审核：</t>
    <phoneticPr fontId="5" type="noConversion"/>
  </si>
  <si>
    <t>编制：</t>
    <phoneticPr fontId="5" type="noConversion"/>
  </si>
  <si>
    <t>件</t>
    <phoneticPr fontId="5" type="noConversion"/>
  </si>
  <si>
    <t>/</t>
    <phoneticPr fontId="5" type="noConversion"/>
  </si>
  <si>
    <t>本工序的操作方法</t>
    <phoneticPr fontId="5" type="noConversion"/>
  </si>
  <si>
    <t>下料手</t>
    <phoneticPr fontId="2" type="noConversion"/>
  </si>
  <si>
    <t>上料手</t>
    <phoneticPr fontId="2" type="noConversion"/>
  </si>
  <si>
    <t>备注</t>
    <phoneticPr fontId="5" type="noConversion"/>
  </si>
  <si>
    <t>本工序使用的工装</t>
    <phoneticPr fontId="5" type="noConversion"/>
  </si>
  <si>
    <t>滑块顶棒数量</t>
    <phoneticPr fontId="5" type="noConversion"/>
  </si>
  <si>
    <t xml:space="preserve">滑块气垫顶棒分布图
</t>
    <phoneticPr fontId="5" type="noConversion"/>
  </si>
  <si>
    <t>●</t>
    <phoneticPr fontId="5" type="noConversion"/>
  </si>
  <si>
    <t>◎</t>
    <phoneticPr fontId="5" type="noConversion"/>
  </si>
  <si>
    <t>送料方向</t>
    <phoneticPr fontId="2" type="noConversion"/>
  </si>
  <si>
    <t>↑</t>
    <phoneticPr fontId="5" type="noConversion"/>
  </si>
  <si>
    <t>定位销</t>
    <phoneticPr fontId="5" type="noConversion"/>
  </si>
  <si>
    <t>图例</t>
    <phoneticPr fontId="5" type="noConversion"/>
  </si>
  <si>
    <t>压机平衡缸压力</t>
    <phoneticPr fontId="5" type="noConversion"/>
  </si>
  <si>
    <t>装模高度</t>
    <phoneticPr fontId="5" type="noConversion"/>
  </si>
  <si>
    <t>T</t>
    <phoneticPr fontId="2" type="noConversion"/>
  </si>
  <si>
    <t xml:space="preserve">使用压机吨位 </t>
    <phoneticPr fontId="5" type="noConversion"/>
  </si>
  <si>
    <t>闭合高度</t>
    <phoneticPr fontId="5" type="noConversion"/>
  </si>
  <si>
    <t>撑头形式及数量</t>
    <phoneticPr fontId="5" type="noConversion"/>
  </si>
  <si>
    <t>上模重量</t>
    <phoneticPr fontId="5" type="noConversion"/>
  </si>
  <si>
    <t>下压板形式及数量</t>
    <phoneticPr fontId="5" type="noConversion"/>
  </si>
  <si>
    <t>模具总重量</t>
    <phoneticPr fontId="5" type="noConversion"/>
  </si>
  <si>
    <t>上压板形式及数量</t>
    <phoneticPr fontId="5" type="noConversion"/>
  </si>
  <si>
    <t>模具名称</t>
    <phoneticPr fontId="5" type="noConversion"/>
  </si>
  <si>
    <t xml:space="preserve">                      压机
形式        </t>
    <phoneticPr fontId="5" type="noConversion"/>
  </si>
  <si>
    <t>模具编号</t>
    <phoneticPr fontId="5" type="noConversion"/>
  </si>
  <si>
    <t>本工序模具参数</t>
    <phoneticPr fontId="5" type="noConversion"/>
  </si>
  <si>
    <t>适用车型</t>
    <phoneticPr fontId="5" type="noConversion"/>
  </si>
  <si>
    <t>生产线</t>
    <phoneticPr fontId="5" type="noConversion"/>
  </si>
  <si>
    <t xml:space="preserve">定位销分布图
</t>
    <phoneticPr fontId="5" type="noConversion"/>
  </si>
  <si>
    <t>7-200</t>
    <phoneticPr fontId="2" type="noConversion"/>
  </si>
  <si>
    <t>DX54D+Z100MC</t>
  </si>
  <si>
    <t>DC05+ZE50/50BPO</t>
  </si>
  <si>
    <t>DX57D+Z100MB</t>
  </si>
  <si>
    <t>DX54D+Z100MB</t>
  </si>
  <si>
    <t>HX180BD+Z100MC</t>
  </si>
  <si>
    <t>DX56D+Z100MB</t>
  </si>
  <si>
    <t>HX220BD+Z100MC</t>
  </si>
  <si>
    <t>DX57D+Z100MC</t>
  </si>
  <si>
    <t>HC220I+ZE50/50BPO</t>
  </si>
  <si>
    <t>HX260LAD+Z100MB</t>
  </si>
  <si>
    <t>DC06+ZE50/50BPO</t>
  </si>
  <si>
    <t>DX56D+Z100MC</t>
  </si>
  <si>
    <t>HX220BD+Z100MB</t>
  </si>
  <si>
    <t>是</t>
    <phoneticPr fontId="30" type="noConversion"/>
  </si>
  <si>
    <t>否</t>
    <phoneticPr fontId="30" type="noConversion"/>
  </si>
  <si>
    <t>/</t>
    <phoneticPr fontId="30" type="noConversion"/>
  </si>
  <si>
    <t>（± 0.2Mpa）</t>
    <phoneticPr fontId="30" type="noConversion"/>
  </si>
  <si>
    <t xml:space="preserve"> （± 50KN）</t>
    <phoneticPr fontId="30" type="noConversion"/>
  </si>
  <si>
    <t>（KN）</t>
    <phoneticPr fontId="30" type="noConversion"/>
  </si>
  <si>
    <t>（Bar）</t>
    <phoneticPr fontId="30" type="noConversion"/>
  </si>
  <si>
    <t>（Mpa）</t>
    <phoneticPr fontId="30" type="noConversion"/>
  </si>
  <si>
    <t>硬支撑</t>
    <phoneticPr fontId="30" type="noConversion"/>
  </si>
  <si>
    <t>/</t>
    <phoneticPr fontId="30" type="noConversion"/>
  </si>
  <si>
    <t>●</t>
    <phoneticPr fontId="30" type="noConversion"/>
  </si>
  <si>
    <t>◎</t>
    <phoneticPr fontId="30" type="noConversion"/>
  </si>
  <si>
    <t>○</t>
    <phoneticPr fontId="30" type="noConversion"/>
  </si>
  <si>
    <t>（是）</t>
    <phoneticPr fontId="30" type="noConversion"/>
  </si>
  <si>
    <t>mm</t>
    <phoneticPr fontId="5" type="noConversion"/>
  </si>
  <si>
    <t>自动</t>
    <phoneticPr fontId="2" type="noConversion"/>
  </si>
  <si>
    <t>手动</t>
    <phoneticPr fontId="2" type="noConversion"/>
  </si>
  <si>
    <t>／</t>
    <phoneticPr fontId="2" type="noConversion"/>
  </si>
  <si>
    <t>3.是否过清洗机</t>
    <phoneticPr fontId="2" type="noConversion"/>
  </si>
  <si>
    <t>（是）</t>
  </si>
  <si>
    <t>◎</t>
  </si>
  <si>
    <t>硬支撑</t>
    <phoneticPr fontId="2" type="noConversion"/>
  </si>
  <si>
    <t>手动</t>
    <phoneticPr fontId="2" type="noConversion"/>
  </si>
  <si>
    <t>自动</t>
    <phoneticPr fontId="2" type="noConversion"/>
  </si>
  <si>
    <t>舒勒</t>
    <phoneticPr fontId="2" type="noConversion"/>
  </si>
  <si>
    <t>济二</t>
    <phoneticPr fontId="2" type="noConversion"/>
  </si>
  <si>
    <t>OP20</t>
    <phoneticPr fontId="2" type="noConversion"/>
  </si>
  <si>
    <t>OP30</t>
    <phoneticPr fontId="2" type="noConversion"/>
  </si>
  <si>
    <t>OP40</t>
    <phoneticPr fontId="2" type="noConversion"/>
  </si>
  <si>
    <t>OP50</t>
    <phoneticPr fontId="2" type="noConversion"/>
  </si>
  <si>
    <t>OP60</t>
    <phoneticPr fontId="2" type="noConversion"/>
  </si>
  <si>
    <t>OP70</t>
    <phoneticPr fontId="2" type="noConversion"/>
  </si>
  <si>
    <t>滑块气垫压力
(±50KN)</t>
    <phoneticPr fontId="5" type="noConversion"/>
  </si>
  <si>
    <t>CBF0（左、右）</t>
  </si>
  <si>
    <t>CBF1（左、右）</t>
  </si>
  <si>
    <t>CBF2（左、右）</t>
  </si>
  <si>
    <t>CBF1（左、右）</t>
    <phoneticPr fontId="2" type="noConversion"/>
  </si>
  <si>
    <t>CBF0（左、右）</t>
    <phoneticPr fontId="2" type="noConversion"/>
  </si>
  <si>
    <t>CBF3（左、右）</t>
  </si>
  <si>
    <t>CBF4（左、右）</t>
  </si>
  <si>
    <t>CBF5（左、右）</t>
  </si>
  <si>
    <t>CBF6（左、右）</t>
  </si>
  <si>
    <t>全顶棒图变化点</t>
    <phoneticPr fontId="2" type="noConversion"/>
  </si>
  <si>
    <t>拉伸垫缸压力
（±50KN）</t>
    <phoneticPr fontId="5" type="noConversion"/>
  </si>
  <si>
    <t>滑块气垫压力</t>
    <phoneticPr fontId="2" type="noConversion"/>
  </si>
  <si>
    <t xml:space="preserve"> （± 50KN）</t>
  </si>
  <si>
    <t>（± 0.2Mpa）</t>
  </si>
  <si>
    <t>DC04</t>
  </si>
  <si>
    <t>DC04+ZE50/50BPO</t>
  </si>
  <si>
    <t>DC04-A-m</t>
  </si>
  <si>
    <t>DC05-A-m</t>
  </si>
  <si>
    <t>DC05+ZE75/75BP0</t>
  </si>
  <si>
    <t>DX53D+Z100MB</t>
  </si>
  <si>
    <t>DX53D+Z100MC</t>
  </si>
  <si>
    <t>DX56D+Z100MB+NIT</t>
  </si>
  <si>
    <t>DX56D+Z100NC</t>
  </si>
  <si>
    <t>H180BD+Z100MC</t>
  </si>
  <si>
    <t>H180YD+Z100MB</t>
  </si>
  <si>
    <t>H220BD+Z100MC</t>
  </si>
  <si>
    <t>H220BD+ZE50/50BPO</t>
  </si>
  <si>
    <t>H220P</t>
  </si>
  <si>
    <t>H220YD+Z100MB</t>
  </si>
  <si>
    <t>H260LA</t>
  </si>
  <si>
    <t>H260LAD+Z100MB</t>
  </si>
  <si>
    <t>H260LAD+Z140MB</t>
  </si>
  <si>
    <t>H260PD+Z100MB</t>
  </si>
  <si>
    <t xml:space="preserve">H340LA </t>
  </si>
  <si>
    <t>H340LAD+Z100MB</t>
  </si>
  <si>
    <t>HC180B+ZE50/50BPO</t>
  </si>
  <si>
    <t>HC220B+ZE50/50BPO</t>
  </si>
  <si>
    <t>HC220YD+Z100MC</t>
  </si>
  <si>
    <t>HC300LA</t>
  </si>
  <si>
    <t>HC340LAD+Z100MB</t>
  </si>
  <si>
    <t>HC420LA</t>
  </si>
  <si>
    <t>HC450XD+Z100MB</t>
  </si>
  <si>
    <t>HX180BD+Z100MB</t>
  </si>
  <si>
    <t>HX180BD+Z100MC+NIT</t>
  </si>
  <si>
    <t>HX180YD+Z100MB</t>
  </si>
  <si>
    <t>HX220YD+Z100MB</t>
  </si>
  <si>
    <t>HX220YD+Z100MC</t>
  </si>
  <si>
    <t>HX300LAD+Z100MB</t>
  </si>
  <si>
    <t>HX340LAD+Z100MB</t>
  </si>
  <si>
    <t>HX380LAD+Z100MB</t>
  </si>
  <si>
    <t>HX420LAD+Z100MB</t>
  </si>
  <si>
    <t>ZSTE220i+ZE50/50BPO</t>
  </si>
  <si>
    <t>宝钢（BAOSTEEL）</t>
  </si>
  <si>
    <t>大连蒂森（TAGAL）</t>
  </si>
  <si>
    <t>浦项（POSCO）</t>
  </si>
  <si>
    <t>广东浦项（POSCO Guangdong）</t>
  </si>
  <si>
    <t>广州JFE（GJSS）</t>
  </si>
  <si>
    <t>武钢（WISCO）</t>
  </si>
  <si>
    <t>鞍钢（ANSTEEL）</t>
  </si>
  <si>
    <t>阿赛洛（ARCELOR）</t>
  </si>
  <si>
    <t>蒂森（TKS）</t>
  </si>
  <si>
    <t>瑞钢（SSAB）</t>
  </si>
  <si>
    <t>首钢（Shougang）</t>
  </si>
  <si>
    <t>宝钢阿赛洛（Shanghai Baosteel &amp; Arcelor Tailor Metal）</t>
  </si>
  <si>
    <t>无</t>
  </si>
  <si>
    <t xml:space="preserve">2.无故障冲次       </t>
    <phoneticPr fontId="2" type="noConversion"/>
  </si>
  <si>
    <t xml:space="preserve">次/分 （±0.2次/分） </t>
    <phoneticPr fontId="2" type="noConversion"/>
  </si>
  <si>
    <t>切边模</t>
    <phoneticPr fontId="30" type="noConversion"/>
  </si>
  <si>
    <t>翻边模</t>
    <phoneticPr fontId="30" type="noConversion"/>
  </si>
  <si>
    <t>整形模</t>
    <phoneticPr fontId="30" type="noConversion"/>
  </si>
  <si>
    <t>冲孔模</t>
    <phoneticPr fontId="30" type="noConversion"/>
  </si>
  <si>
    <t>空工位</t>
    <phoneticPr fontId="30" type="noConversion"/>
  </si>
  <si>
    <t>二次拉伸模</t>
    <phoneticPr fontId="30" type="noConversion"/>
  </si>
  <si>
    <t>切边整形模</t>
    <phoneticPr fontId="30" type="noConversion"/>
  </si>
  <si>
    <t>翻边整形模</t>
    <phoneticPr fontId="30" type="noConversion"/>
  </si>
  <si>
    <t>翻边冲孔模</t>
    <phoneticPr fontId="30" type="noConversion"/>
  </si>
  <si>
    <t>组合模</t>
    <phoneticPr fontId="30" type="noConversion"/>
  </si>
  <si>
    <t>专用料架</t>
    <phoneticPr fontId="30" type="noConversion"/>
  </si>
  <si>
    <t>7V1通用料箱</t>
    <phoneticPr fontId="30" type="noConversion"/>
  </si>
  <si>
    <t>7V2通用料箱</t>
    <phoneticPr fontId="30" type="noConversion"/>
  </si>
  <si>
    <t>7143通用料箱</t>
    <phoneticPr fontId="30" type="noConversion"/>
  </si>
  <si>
    <t>/</t>
    <phoneticPr fontId="30" type="noConversion"/>
  </si>
  <si>
    <t>否</t>
  </si>
  <si>
    <t>KN</t>
    <phoneticPr fontId="2" type="noConversion"/>
  </si>
  <si>
    <t>Bar</t>
    <phoneticPr fontId="2" type="noConversion"/>
  </si>
  <si>
    <t>Bar</t>
  </si>
  <si>
    <t>6-100</t>
    <phoneticPr fontId="2" type="noConversion"/>
  </si>
  <si>
    <t>6-200</t>
    <phoneticPr fontId="2" type="noConversion"/>
  </si>
  <si>
    <t>6-300</t>
    <phoneticPr fontId="2" type="noConversion"/>
  </si>
  <si>
    <t>5-100</t>
    <phoneticPr fontId="2" type="noConversion"/>
  </si>
  <si>
    <t>5-200</t>
    <phoneticPr fontId="2" type="noConversion"/>
  </si>
  <si>
    <t>4-100</t>
    <phoneticPr fontId="2" type="noConversion"/>
  </si>
  <si>
    <t>4-100</t>
    <phoneticPr fontId="2" type="noConversion"/>
  </si>
  <si>
    <t>5-100</t>
    <phoneticPr fontId="2" type="noConversion"/>
  </si>
  <si>
    <t>5-200</t>
    <phoneticPr fontId="2" type="noConversion"/>
  </si>
  <si>
    <t>6-100</t>
    <phoneticPr fontId="2" type="noConversion"/>
  </si>
  <si>
    <t>6-200</t>
    <phoneticPr fontId="2" type="noConversion"/>
  </si>
  <si>
    <t>6-300</t>
    <phoneticPr fontId="2" type="noConversion"/>
  </si>
  <si>
    <t>7-100</t>
    <phoneticPr fontId="2" type="noConversion"/>
  </si>
  <si>
    <t>○</t>
    <phoneticPr fontId="30" type="noConversion"/>
  </si>
  <si>
    <t>◎</t>
    <phoneticPr fontId="30" type="noConversion"/>
  </si>
  <si>
    <t>☆</t>
    <phoneticPr fontId="2" type="noConversion"/>
  </si>
  <si>
    <t>适用车型</t>
    <phoneticPr fontId="5" type="noConversion"/>
  </si>
  <si>
    <t>○</t>
    <phoneticPr fontId="2" type="noConversion"/>
  </si>
  <si>
    <t>定位销孔</t>
    <phoneticPr fontId="5" type="noConversion"/>
  </si>
  <si>
    <t>顶棒</t>
    <phoneticPr fontId="2" type="noConversion"/>
  </si>
  <si>
    <t>顶棒孔</t>
    <phoneticPr fontId="2" type="noConversion"/>
  </si>
  <si>
    <t xml:space="preserve">定位销及气垫顶棒分布图
</t>
    <phoneticPr fontId="5" type="noConversion"/>
  </si>
  <si>
    <t>顶棒/定位销孔</t>
    <phoneticPr fontId="2" type="noConversion"/>
  </si>
  <si>
    <t>OP30</t>
  </si>
  <si>
    <t>OP20</t>
  </si>
  <si>
    <t>拉延模</t>
    <phoneticPr fontId="2" type="noConversion"/>
  </si>
  <si>
    <t>±2</t>
  </si>
  <si>
    <t>±2</t>
    <phoneticPr fontId="2" type="noConversion"/>
  </si>
  <si>
    <t>OP40</t>
  </si>
  <si>
    <t>OP60</t>
  </si>
  <si>
    <t>OP50</t>
  </si>
  <si>
    <t>1.巡视操作人数   1-2   人</t>
    <phoneticPr fontId="2" type="noConversion"/>
  </si>
  <si>
    <t>1.巡视操作人数  1-2    人</t>
    <phoneticPr fontId="2" type="noConversion"/>
  </si>
  <si>
    <t>专用料架</t>
  </si>
  <si>
    <t>CR5-GI40/40-E-O</t>
    <phoneticPr fontId="2" type="noConversion"/>
  </si>
  <si>
    <t>ZSTE220i+ZE75/75BPO</t>
    <phoneticPr fontId="2" type="noConversion"/>
  </si>
  <si>
    <t>×</t>
    <phoneticPr fontId="2" type="noConversion"/>
  </si>
  <si>
    <t>（否）</t>
    <phoneticPr fontId="30" type="noConversion"/>
  </si>
  <si>
    <t>出料：用下料手将零件送至下道模具内</t>
  </si>
  <si>
    <t>出料：用下料手将零件送至下道模具内</t>
    <phoneticPr fontId="5" type="noConversion"/>
  </si>
  <si>
    <t>进料：用上料手将板料送至本道模具内</t>
    <phoneticPr fontId="2" type="noConversion"/>
  </si>
  <si>
    <t>进料：用上料手将零件送至本道模具内</t>
  </si>
  <si>
    <t>PFS 冲压件工艺卡</t>
    <phoneticPr fontId="2" type="noConversion"/>
  </si>
  <si>
    <t>PROT(AA)-10.1-PFS-015-1.00</t>
    <phoneticPr fontId="2" type="noConversion"/>
  </si>
  <si>
    <t>PROT(AA)-10.1-PFS-015-1.00</t>
    <phoneticPr fontId="2" type="noConversion"/>
  </si>
  <si>
    <t>出料：用下料手将零件送至穿梭小车上</t>
    <phoneticPr fontId="5" type="noConversion"/>
  </si>
  <si>
    <t>×</t>
    <phoneticPr fontId="2" type="noConversion"/>
  </si>
  <si>
    <t>禁止放顶棒</t>
    <phoneticPr fontId="2" type="noConversion"/>
  </si>
  <si>
    <t>3-600</t>
    <phoneticPr fontId="2" type="noConversion"/>
  </si>
  <si>
    <t>CR210IF-GI40/40-U</t>
    <phoneticPr fontId="2" type="noConversion"/>
  </si>
  <si>
    <t>/</t>
  </si>
  <si>
    <t>/</t>
    <phoneticPr fontId="2" type="noConversion"/>
  </si>
  <si>
    <t>/</t>
    <phoneticPr fontId="2" type="noConversion"/>
  </si>
  <si>
    <t>切边冲孔模</t>
    <phoneticPr fontId="30" type="noConversion"/>
  </si>
  <si>
    <t>/</t>
    <phoneticPr fontId="2" type="noConversion"/>
  </si>
  <si>
    <t>/</t>
    <phoneticPr fontId="2" type="noConversion"/>
  </si>
  <si>
    <t>/</t>
    <phoneticPr fontId="2" type="noConversion"/>
  </si>
  <si>
    <t>/</t>
    <phoneticPr fontId="2" type="noConversion"/>
  </si>
  <si>
    <t>切边冲孔模</t>
    <phoneticPr fontId="30" type="noConversion"/>
  </si>
  <si>
    <t>上死点高度
（±2mm）</t>
    <phoneticPr fontId="2" type="noConversion"/>
  </si>
  <si>
    <t>±5</t>
    <phoneticPr fontId="2" type="noConversion"/>
  </si>
  <si>
    <t>±1.5</t>
    <phoneticPr fontId="2" type="noConversion"/>
  </si>
  <si>
    <t>11A 809 605</t>
    <phoneticPr fontId="2" type="noConversion"/>
  </si>
  <si>
    <t>0.70*落料片</t>
    <phoneticPr fontId="2" type="noConversion"/>
  </si>
  <si>
    <t>78-72D-058001</t>
    <phoneticPr fontId="2" type="noConversion"/>
  </si>
  <si>
    <t>/</t>
    <phoneticPr fontId="2" type="noConversion"/>
  </si>
  <si>
    <t>78-72D-058003</t>
    <phoneticPr fontId="2" type="noConversion"/>
  </si>
  <si>
    <t>切边整形模</t>
  </si>
  <si>
    <t>±5</t>
    <phoneticPr fontId="2" type="noConversion"/>
  </si>
  <si>
    <t>78-72D-058005</t>
    <phoneticPr fontId="2" type="noConversion"/>
  </si>
  <si>
    <t>翻边整形模</t>
  </si>
  <si>
    <t>±1.5</t>
    <phoneticPr fontId="2" type="noConversion"/>
  </si>
  <si>
    <t>78-72D-058009</t>
    <phoneticPr fontId="2" type="noConversion"/>
  </si>
  <si>
    <t>MEB-100</t>
    <phoneticPr fontId="2" type="noConversion"/>
  </si>
  <si>
    <t>A SUVe</t>
    <phoneticPr fontId="2" type="noConversion"/>
  </si>
  <si>
    <t>-14</t>
    <phoneticPr fontId="2" type="noConversion"/>
  </si>
  <si>
    <t>×</t>
  </si>
  <si>
    <t>●</t>
  </si>
  <si>
    <t>切边整形冲孔模</t>
  </si>
  <si>
    <t>切边整形冲孔模</t>
    <phoneticPr fontId="30" type="noConversion"/>
  </si>
  <si>
    <t>左侧围外板</t>
    <phoneticPr fontId="2" type="noConversion"/>
  </si>
  <si>
    <t>2.零件搬运数量：2人每次搬运1件。</t>
    <phoneticPr fontId="2" type="noConversion"/>
  </si>
  <si>
    <t>78-72D-058007</t>
    <phoneticPr fontId="2" type="noConversion"/>
  </si>
  <si>
    <t>MEB-100/200</t>
  </si>
  <si>
    <t>MEB-100/200</t>
    <phoneticPr fontId="2" type="noConversion"/>
  </si>
  <si>
    <t>mm</t>
    <phoneticPr fontId="2" type="noConversion"/>
  </si>
  <si>
    <t>CR5-EG29/29-EPO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</si>
</sst>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0_)"/>
  </numFmts>
  <fonts count="40">
    <font>
      <sz val="11"/>
      <color theme="1"/>
      <name val="宋体"/>
      <family val="2"/>
      <charset val="134"/>
      <scheme val="minor"/>
    </font>
    <font>
      <sz val="26"/>
      <name val="微软雅黑"/>
      <family val="2"/>
      <charset val="134"/>
    </font>
    <font>
      <sz val="9"/>
      <name val="宋体"/>
      <family val="2"/>
      <charset val="134"/>
      <scheme val="minor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微软雅黑"/>
      <family val="2"/>
      <charset val="134"/>
    </font>
    <font>
      <sz val="12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7"/>
      <name val="宋体"/>
      <family val="3"/>
      <charset val="134"/>
    </font>
    <font>
      <sz val="7"/>
      <name val="宋体"/>
      <family val="3"/>
      <charset val="134"/>
    </font>
    <font>
      <sz val="11"/>
      <color theme="1"/>
      <name val="宋体"/>
      <family val="3"/>
      <charset val="134"/>
    </font>
    <font>
      <b/>
      <sz val="16"/>
      <name val="微软雅黑"/>
      <family val="2"/>
      <charset val="134"/>
    </font>
    <font>
      <sz val="16"/>
      <name val="微软雅黑"/>
      <family val="2"/>
      <charset val="134"/>
    </font>
    <font>
      <b/>
      <sz val="8"/>
      <name val="宋体"/>
      <family val="3"/>
      <charset val="134"/>
    </font>
    <font>
      <sz val="10"/>
      <name val="宋体"/>
      <family val="3"/>
      <charset val="134"/>
    </font>
    <font>
      <b/>
      <sz val="12"/>
      <name val="微软雅黑"/>
      <family val="2"/>
      <charset val="134"/>
    </font>
    <font>
      <sz val="48"/>
      <name val="宋体"/>
      <family val="3"/>
      <charset val="134"/>
    </font>
    <font>
      <sz val="7"/>
      <color theme="1"/>
      <name val="宋体"/>
      <family val="3"/>
      <charset val="134"/>
    </font>
    <font>
      <b/>
      <sz val="8"/>
      <name val="微软雅黑"/>
      <family val="2"/>
      <charset val="134"/>
    </font>
    <font>
      <b/>
      <sz val="9"/>
      <name val="宋体"/>
      <family val="3"/>
      <charset val="134"/>
    </font>
    <font>
      <b/>
      <sz val="10"/>
      <name val="微软雅黑"/>
      <family val="2"/>
      <charset val="134"/>
    </font>
    <font>
      <sz val="7"/>
      <name val="Small Fonts"/>
      <family val="2"/>
    </font>
    <font>
      <sz val="10"/>
      <name val="MS Sans Serif"/>
      <family val="2"/>
    </font>
    <font>
      <sz val="10"/>
      <name val="Courier"/>
      <family val="3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1"/>
      <color theme="1"/>
      <name val="微软雅黑"/>
      <family val="2"/>
      <charset val="134"/>
    </font>
    <font>
      <sz val="24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name val="微软雅黑"/>
      <family val="2"/>
      <charset val="134"/>
    </font>
    <font>
      <b/>
      <sz val="12"/>
      <color rgb="FF0000FF"/>
      <name val="宋体"/>
      <family val="3"/>
      <charset val="134"/>
    </font>
    <font>
      <b/>
      <sz val="12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8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b/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theme="1" tint="0.499984740745262"/>
      </right>
      <top/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 tint="0.499984740745262"/>
      </left>
      <right/>
      <top/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3">
    <xf numFmtId="0" fontId="0" fillId="0" borderId="0">
      <alignment vertical="center"/>
    </xf>
    <xf numFmtId="0" fontId="6" fillId="0" borderId="0"/>
    <xf numFmtId="0" fontId="6" fillId="0" borderId="0">
      <alignment vertical="center"/>
    </xf>
    <xf numFmtId="37" fontId="23" fillId="0" borderId="0"/>
    <xf numFmtId="0" fontId="24" fillId="0" borderId="0"/>
    <xf numFmtId="0" fontId="6" fillId="0" borderId="0"/>
    <xf numFmtId="178" fontId="25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35" fillId="0" borderId="0">
      <alignment vertical="center"/>
    </xf>
  </cellStyleXfs>
  <cellXfs count="250">
    <xf numFmtId="0" fontId="0" fillId="0" borderId="0" xfId="0">
      <alignment vertical="center"/>
    </xf>
    <xf numFmtId="0" fontId="6" fillId="2" borderId="0" xfId="1" applyFill="1" applyAlignment="1">
      <alignment vertical="center"/>
    </xf>
    <xf numFmtId="0" fontId="10" fillId="2" borderId="0" xfId="0" applyFont="1" applyFill="1">
      <alignment vertical="center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5" fillId="2" borderId="0" xfId="0" applyFont="1" applyFill="1">
      <alignment vertical="center"/>
    </xf>
    <xf numFmtId="0" fontId="16" fillId="2" borderId="0" xfId="0" applyFont="1" applyFill="1" applyAlignment="1">
      <alignment horizontal="center" vertical="center"/>
    </xf>
    <xf numFmtId="0" fontId="10" fillId="2" borderId="10" xfId="0" applyFont="1" applyFill="1" applyBorder="1">
      <alignment vertical="center"/>
    </xf>
    <xf numFmtId="0" fontId="10" fillId="2" borderId="10" xfId="0" applyFont="1" applyFill="1" applyBorder="1" applyAlignment="1">
      <alignment horizontal="center" vertical="center" wrapText="1" shrinkToFit="1"/>
    </xf>
    <xf numFmtId="0" fontId="10" fillId="2" borderId="10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8" fillId="2" borderId="41" xfId="2" applyFont="1" applyFill="1" applyBorder="1" applyAlignment="1">
      <alignment vertical="distributed"/>
    </xf>
    <xf numFmtId="0" fontId="8" fillId="2" borderId="42" xfId="2" applyFont="1" applyFill="1" applyBorder="1" applyAlignment="1">
      <alignment horizontal="left" vertical="center"/>
    </xf>
    <xf numFmtId="0" fontId="8" fillId="2" borderId="42" xfId="2" applyFont="1" applyFill="1" applyBorder="1" applyAlignment="1">
      <alignment vertical="distributed"/>
    </xf>
    <xf numFmtId="0" fontId="8" fillId="2" borderId="43" xfId="2" applyFont="1" applyFill="1" applyBorder="1" applyAlignment="1">
      <alignment vertical="distributed"/>
    </xf>
    <xf numFmtId="0" fontId="8" fillId="2" borderId="44" xfId="2" applyFont="1" applyFill="1" applyBorder="1" applyAlignment="1">
      <alignment vertical="distributed"/>
    </xf>
    <xf numFmtId="0" fontId="4" fillId="2" borderId="0" xfId="0" applyFont="1" applyFill="1">
      <alignment vertical="center"/>
    </xf>
    <xf numFmtId="0" fontId="9" fillId="2" borderId="0" xfId="0" applyFont="1" applyFill="1" applyAlignment="1">
      <alignment vertical="center" wrapText="1"/>
    </xf>
    <xf numFmtId="0" fontId="4" fillId="2" borderId="35" xfId="0" applyFont="1" applyFill="1" applyBorder="1">
      <alignment vertical="center"/>
    </xf>
    <xf numFmtId="0" fontId="1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1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3" fillId="2" borderId="36" xfId="0" applyFont="1" applyFill="1" applyBorder="1">
      <alignment vertical="center"/>
    </xf>
    <xf numFmtId="0" fontId="4" fillId="2" borderId="36" xfId="0" applyFont="1" applyFill="1" applyBorder="1">
      <alignment vertical="center"/>
    </xf>
    <xf numFmtId="0" fontId="7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12" fillId="2" borderId="10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3" fillId="2" borderId="10" xfId="0" applyFont="1" applyFill="1" applyBorder="1" applyAlignment="1">
      <alignment vertical="center" wrapText="1"/>
    </xf>
    <xf numFmtId="0" fontId="4" fillId="2" borderId="38" xfId="0" applyFont="1" applyFill="1" applyBorder="1">
      <alignment vertical="center"/>
    </xf>
    <xf numFmtId="0" fontId="4" fillId="2" borderId="25" xfId="0" applyFont="1" applyFill="1" applyBorder="1">
      <alignment vertical="center"/>
    </xf>
    <xf numFmtId="0" fontId="12" fillId="2" borderId="25" xfId="0" applyFont="1" applyFill="1" applyBorder="1">
      <alignment vertical="center"/>
    </xf>
    <xf numFmtId="0" fontId="15" fillId="2" borderId="0" xfId="0" applyFont="1" applyFill="1" applyAlignment="1">
      <alignment horizontal="center" vertical="center" wrapText="1" shrinkToFit="1"/>
    </xf>
    <xf numFmtId="0" fontId="15" fillId="2" borderId="0" xfId="0" applyFont="1" applyFill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3" fillId="2" borderId="25" xfId="0" applyFont="1" applyFill="1" applyBorder="1">
      <alignment vertical="center"/>
    </xf>
    <xf numFmtId="0" fontId="4" fillId="2" borderId="39" xfId="0" applyFont="1" applyFill="1" applyBorder="1">
      <alignment vertical="center"/>
    </xf>
    <xf numFmtId="0" fontId="16" fillId="2" borderId="0" xfId="1" applyFont="1" applyFill="1" applyAlignment="1">
      <alignment horizontal="center" vertical="center"/>
    </xf>
    <xf numFmtId="0" fontId="20" fillId="2" borderId="0" xfId="0" applyFont="1" applyFill="1">
      <alignment vertical="center"/>
    </xf>
    <xf numFmtId="0" fontId="4" fillId="2" borderId="9" xfId="0" applyFont="1" applyFill="1" applyBorder="1">
      <alignment vertical="center"/>
    </xf>
    <xf numFmtId="0" fontId="21" fillId="2" borderId="10" xfId="0" applyFont="1" applyFill="1" applyBorder="1">
      <alignment vertical="center"/>
    </xf>
    <xf numFmtId="0" fontId="15" fillId="2" borderId="10" xfId="0" applyFont="1" applyFill="1" applyBorder="1" applyAlignment="1">
      <alignment horizontal="center" vertical="center" wrapText="1" shrinkToFit="1"/>
    </xf>
    <xf numFmtId="0" fontId="15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 wrapText="1"/>
    </xf>
    <xf numFmtId="0" fontId="3" fillId="2" borderId="38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>
      <alignment vertical="center"/>
    </xf>
    <xf numFmtId="0" fontId="4" fillId="2" borderId="26" xfId="0" applyFont="1" applyFill="1" applyBorder="1">
      <alignment vertical="center"/>
    </xf>
    <xf numFmtId="0" fontId="3" fillId="2" borderId="25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0" fontId="8" fillId="2" borderId="25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0" xfId="0" applyFont="1" applyFill="1" applyAlignment="1"/>
    <xf numFmtId="0" fontId="3" fillId="2" borderId="40" xfId="0" applyFont="1" applyFill="1" applyBorder="1" applyAlignment="1">
      <alignment horizontal="left" vertical="center"/>
    </xf>
    <xf numFmtId="0" fontId="3" fillId="2" borderId="35" xfId="0" applyFont="1" applyFill="1" applyBorder="1">
      <alignment vertical="center"/>
    </xf>
    <xf numFmtId="0" fontId="8" fillId="2" borderId="0" xfId="0" applyFont="1" applyFill="1" applyAlignment="1"/>
    <xf numFmtId="0" fontId="3" fillId="2" borderId="11" xfId="0" applyFont="1" applyFill="1" applyBorder="1" applyAlignment="1">
      <alignment horizontal="left" vertical="center"/>
    </xf>
    <xf numFmtId="0" fontId="8" fillId="2" borderId="25" xfId="0" applyFont="1" applyFill="1" applyBorder="1" applyAlignment="1">
      <alignment vertical="center" wrapText="1"/>
    </xf>
    <xf numFmtId="0" fontId="8" fillId="2" borderId="26" xfId="0" applyFont="1" applyFill="1" applyBorder="1">
      <alignment vertical="center"/>
    </xf>
    <xf numFmtId="0" fontId="8" fillId="2" borderId="40" xfId="0" applyFont="1" applyFill="1" applyBorder="1">
      <alignment vertical="center"/>
    </xf>
    <xf numFmtId="0" fontId="3" fillId="2" borderId="35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1" xfId="0" applyFont="1" applyFill="1" applyBorder="1">
      <alignment vertical="center"/>
    </xf>
    <xf numFmtId="0" fontId="3" fillId="2" borderId="45" xfId="1" applyFont="1" applyFill="1" applyBorder="1" applyAlignment="1">
      <alignment horizontal="center" vertical="center"/>
    </xf>
    <xf numFmtId="0" fontId="3" fillId="2" borderId="20" xfId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8" fillId="2" borderId="0" xfId="0" applyFont="1" applyFill="1">
      <alignment vertical="center"/>
    </xf>
    <xf numFmtId="49" fontId="15" fillId="2" borderId="10" xfId="0" applyNumberFormat="1" applyFont="1" applyFill="1" applyBorder="1" applyAlignment="1">
      <alignment horizontal="center" vertical="center" wrapText="1" shrinkToFit="1"/>
    </xf>
    <xf numFmtId="49" fontId="15" fillId="2" borderId="0" xfId="0" applyNumberFormat="1" applyFont="1" applyFill="1" applyAlignment="1">
      <alignment horizontal="center" vertical="center" wrapText="1" shrinkToFit="1"/>
    </xf>
    <xf numFmtId="0" fontId="15" fillId="2" borderId="0" xfId="0" applyFont="1" applyFill="1" applyAlignment="1">
      <alignment horizontal="right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36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left" vertical="center"/>
    </xf>
    <xf numFmtId="0" fontId="3" fillId="2" borderId="39" xfId="0" applyFont="1" applyFill="1" applyBorder="1">
      <alignment vertical="center"/>
    </xf>
    <xf numFmtId="0" fontId="28" fillId="2" borderId="36" xfId="0" applyFont="1" applyFill="1" applyBorder="1">
      <alignment vertical="center"/>
    </xf>
    <xf numFmtId="0" fontId="8" fillId="2" borderId="10" xfId="0" applyFont="1" applyFill="1" applyBorder="1" applyAlignment="1">
      <alignment horizontal="left" vertical="center"/>
    </xf>
    <xf numFmtId="0" fontId="17" fillId="2" borderId="0" xfId="0" applyFont="1" applyFill="1" applyAlignment="1">
      <alignment wrapText="1"/>
    </xf>
    <xf numFmtId="0" fontId="16" fillId="2" borderId="46" xfId="0" applyFont="1" applyFill="1" applyBorder="1" applyAlignment="1">
      <alignment horizontal="center" vertical="center"/>
    </xf>
    <xf numFmtId="0" fontId="16" fillId="2" borderId="46" xfId="1" applyFont="1" applyFill="1" applyBorder="1" applyAlignment="1">
      <alignment horizontal="center" vertical="center"/>
    </xf>
    <xf numFmtId="0" fontId="3" fillId="0" borderId="25" xfId="0" applyFont="1" applyBorder="1">
      <alignment vertical="center"/>
    </xf>
    <xf numFmtId="0" fontId="28" fillId="2" borderId="20" xfId="0" applyFont="1" applyFill="1" applyBorder="1">
      <alignment vertical="center"/>
    </xf>
    <xf numFmtId="0" fontId="10" fillId="2" borderId="10" xfId="0" applyFont="1" applyFill="1" applyBorder="1" applyAlignment="1">
      <alignment horizontal="center" vertical="center" wrapText="1"/>
    </xf>
    <xf numFmtId="0" fontId="6" fillId="2" borderId="0" xfId="5" applyFill="1" applyAlignment="1">
      <alignment vertical="center"/>
    </xf>
    <xf numFmtId="0" fontId="4" fillId="2" borderId="0" xfId="1" applyFont="1" applyFill="1" applyAlignment="1">
      <alignment vertical="center"/>
    </xf>
    <xf numFmtId="0" fontId="6" fillId="2" borderId="13" xfId="5" applyFill="1" applyBorder="1" applyAlignment="1">
      <alignment vertical="center"/>
    </xf>
    <xf numFmtId="0" fontId="6" fillId="2" borderId="0" xfId="5" applyFill="1" applyAlignment="1">
      <alignment horizontal="center" vertical="center"/>
    </xf>
    <xf numFmtId="0" fontId="32" fillId="2" borderId="0" xfId="5" applyFont="1" applyFill="1" applyAlignment="1">
      <alignment vertical="center"/>
    </xf>
    <xf numFmtId="0" fontId="31" fillId="0" borderId="13" xfId="0" applyFont="1" applyBorder="1" applyAlignment="1">
      <alignment horizontal="center" vertical="center"/>
    </xf>
    <xf numFmtId="0" fontId="9" fillId="2" borderId="0" xfId="0" applyFont="1" applyFill="1">
      <alignment vertical="center"/>
    </xf>
    <xf numFmtId="0" fontId="33" fillId="2" borderId="0" xfId="5" applyFont="1" applyFill="1" applyAlignment="1">
      <alignment vertical="center"/>
    </xf>
    <xf numFmtId="0" fontId="3" fillId="2" borderId="45" xfId="1" applyFont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0" fontId="34" fillId="2" borderId="46" xfId="1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center" vertical="center"/>
    </xf>
    <xf numFmtId="0" fontId="16" fillId="2" borderId="49" xfId="0" applyFont="1" applyFill="1" applyBorder="1" applyAlignment="1">
      <alignment horizontal="center" vertical="center"/>
    </xf>
    <xf numFmtId="0" fontId="16" fillId="2" borderId="49" xfId="1" applyFont="1" applyFill="1" applyBorder="1" applyAlignment="1">
      <alignment horizontal="center" vertical="center"/>
    </xf>
    <xf numFmtId="0" fontId="16" fillId="2" borderId="0" xfId="1" applyFont="1" applyFill="1" applyAlignment="1">
      <alignment horizontal="right" vertical="center"/>
    </xf>
    <xf numFmtId="0" fontId="16" fillId="2" borderId="49" xfId="1" applyFont="1" applyFill="1" applyBorder="1" applyAlignment="1">
      <alignment horizontal="right" vertical="center"/>
    </xf>
    <xf numFmtId="0" fontId="34" fillId="2" borderId="0" xfId="1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6" fillId="2" borderId="0" xfId="22" applyFont="1" applyFill="1" applyAlignment="1">
      <alignment horizontal="center" vertical="center"/>
    </xf>
    <xf numFmtId="0" fontId="39" fillId="2" borderId="0" xfId="22" applyFont="1" applyFill="1" applyAlignment="1">
      <alignment horizontal="center" vertical="center"/>
    </xf>
    <xf numFmtId="0" fontId="12" fillId="2" borderId="53" xfId="0" applyFont="1" applyFill="1" applyBorder="1">
      <alignment vertical="center"/>
    </xf>
    <xf numFmtId="0" fontId="36" fillId="2" borderId="0" xfId="0" applyFont="1" applyFill="1">
      <alignment vertical="center"/>
    </xf>
    <xf numFmtId="0" fontId="0" fillId="2" borderId="0" xfId="0" applyFill="1">
      <alignment vertical="center"/>
    </xf>
    <xf numFmtId="0" fontId="37" fillId="2" borderId="0" xfId="0" applyFont="1" applyFill="1">
      <alignment vertical="center"/>
    </xf>
    <xf numFmtId="0" fontId="36" fillId="2" borderId="53" xfId="0" applyFont="1" applyFill="1" applyBorder="1">
      <alignment vertical="center"/>
    </xf>
    <xf numFmtId="0" fontId="37" fillId="2" borderId="0" xfId="0" applyFont="1" applyFill="1" applyAlignment="1">
      <alignment horizontal="center" vertical="center" wrapText="1" shrinkToFit="1"/>
    </xf>
    <xf numFmtId="0" fontId="37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8" fillId="2" borderId="0" xfId="0" applyFont="1" applyFill="1">
      <alignment vertical="center"/>
    </xf>
    <xf numFmtId="0" fontId="39" fillId="2" borderId="46" xfId="1" applyFont="1" applyFill="1" applyBorder="1" applyAlignment="1">
      <alignment horizontal="center" vertical="center"/>
    </xf>
    <xf numFmtId="0" fontId="39" fillId="2" borderId="49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2" borderId="18" xfId="1" applyFont="1" applyFill="1" applyBorder="1" applyAlignment="1">
      <alignment horizontal="center" vertical="center"/>
    </xf>
    <xf numFmtId="0" fontId="3" fillId="2" borderId="19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45" xfId="1" applyFont="1" applyFill="1" applyBorder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3" fillId="2" borderId="14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9" fillId="2" borderId="25" xfId="1" applyFont="1" applyFill="1" applyBorder="1" applyAlignment="1">
      <alignment horizontal="center"/>
    </xf>
    <xf numFmtId="0" fontId="29" fillId="2" borderId="0" xfId="1" applyFont="1" applyFill="1" applyAlignment="1">
      <alignment horizontal="center"/>
    </xf>
    <xf numFmtId="0" fontId="3" fillId="2" borderId="17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 wrapText="1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176" fontId="3" fillId="2" borderId="8" xfId="0" applyNumberFormat="1" applyFont="1" applyFill="1" applyBorder="1" applyAlignment="1">
      <alignment horizontal="center" vertical="center"/>
    </xf>
    <xf numFmtId="49" fontId="3" fillId="2" borderId="14" xfId="1" applyNumberFormat="1" applyFont="1" applyFill="1" applyBorder="1" applyAlignment="1">
      <alignment horizontal="center" vertical="center"/>
    </xf>
    <xf numFmtId="49" fontId="3" fillId="2" borderId="15" xfId="1" applyNumberFormat="1" applyFont="1" applyFill="1" applyBorder="1" applyAlignment="1">
      <alignment horizontal="center" vertical="center"/>
    </xf>
    <xf numFmtId="49" fontId="3" fillId="2" borderId="16" xfId="1" applyNumberFormat="1" applyFont="1" applyFill="1" applyBorder="1" applyAlignment="1">
      <alignment horizontal="center" vertical="center"/>
    </xf>
    <xf numFmtId="0" fontId="3" fillId="2" borderId="35" xfId="1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25" xfId="1" applyFont="1" applyFill="1" applyBorder="1" applyAlignment="1">
      <alignment horizontal="center" vertical="center"/>
    </xf>
    <xf numFmtId="0" fontId="3" fillId="2" borderId="26" xfId="1" applyFont="1" applyFill="1" applyBorder="1" applyAlignment="1">
      <alignment horizontal="center" vertical="center"/>
    </xf>
    <xf numFmtId="0" fontId="3" fillId="2" borderId="15" xfId="0" applyFont="1" applyFill="1" applyBorder="1" applyAlignment="1"/>
    <xf numFmtId="0" fontId="3" fillId="2" borderId="10" xfId="0" applyFont="1" applyFill="1" applyBorder="1" applyAlignment="1"/>
    <xf numFmtId="0" fontId="3" fillId="2" borderId="20" xfId="0" applyFont="1" applyFill="1" applyBorder="1" applyAlignment="1"/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left" vertical="top" wrapText="1"/>
    </xf>
    <xf numFmtId="0" fontId="7" fillId="2" borderId="10" xfId="1" applyFont="1" applyFill="1" applyBorder="1" applyAlignment="1">
      <alignment horizontal="left" vertical="top" wrapTex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1" fillId="0" borderId="47" xfId="0" applyFont="1" applyBorder="1" applyAlignment="1">
      <alignment horizontal="center" vertical="center" wrapText="1"/>
    </xf>
    <xf numFmtId="0" fontId="31" fillId="0" borderId="48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0" borderId="52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16" fillId="2" borderId="0" xfId="0" applyFont="1" applyFill="1" applyAlignment="1">
      <alignment horizontal="left" vertical="top" wrapText="1"/>
    </xf>
    <xf numFmtId="0" fontId="17" fillId="2" borderId="0" xfId="0" applyFont="1" applyFill="1" applyAlignment="1">
      <alignment horizontal="center" vertical="center" wrapText="1"/>
    </xf>
    <xf numFmtId="176" fontId="3" fillId="2" borderId="14" xfId="1" applyNumberFormat="1" applyFont="1" applyFill="1" applyBorder="1" applyAlignment="1">
      <alignment horizontal="center" vertical="center"/>
    </xf>
    <xf numFmtId="176" fontId="3" fillId="2" borderId="15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177" fontId="3" fillId="2" borderId="15" xfId="1" applyNumberFormat="1" applyFont="1" applyFill="1" applyBorder="1" applyAlignment="1">
      <alignment horizontal="left" vertical="center"/>
    </xf>
    <xf numFmtId="177" fontId="3" fillId="2" borderId="14" xfId="1" applyNumberFormat="1" applyFont="1" applyFill="1" applyBorder="1" applyAlignment="1">
      <alignment horizontal="right" vertical="center"/>
    </xf>
    <xf numFmtId="177" fontId="3" fillId="2" borderId="15" xfId="1" applyNumberFormat="1" applyFont="1" applyFill="1" applyBorder="1" applyAlignment="1">
      <alignment horizontal="right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top" wrapText="1"/>
    </xf>
    <xf numFmtId="0" fontId="18" fillId="2" borderId="0" xfId="0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4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3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40" xfId="0" applyFont="1" applyFill="1" applyBorder="1" applyAlignment="1">
      <alignment horizontal="left" vertical="center" wrapText="1"/>
    </xf>
    <xf numFmtId="0" fontId="3" fillId="2" borderId="35" xfId="0" applyFont="1" applyFill="1" applyBorder="1" applyAlignment="1">
      <alignment horizontal="left" vertical="center"/>
    </xf>
    <xf numFmtId="0" fontId="3" fillId="2" borderId="40" xfId="0" applyFont="1" applyFill="1" applyBorder="1" applyAlignment="1">
      <alignment horizontal="left" vertical="center"/>
    </xf>
    <xf numFmtId="0" fontId="8" fillId="2" borderId="0" xfId="5" applyFont="1" applyFill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4" fillId="2" borderId="52" xfId="0" applyFont="1" applyFill="1" applyBorder="1" applyAlignment="1">
      <alignment horizontal="center" vertical="center" wrapText="1"/>
    </xf>
    <xf numFmtId="0" fontId="4" fillId="2" borderId="53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176" fontId="3" fillId="0" borderId="14" xfId="5" applyNumberFormat="1" applyFont="1" applyBorder="1" applyAlignment="1">
      <alignment horizontal="center" vertical="center"/>
    </xf>
    <xf numFmtId="176" fontId="3" fillId="0" borderId="15" xfId="5" applyNumberFormat="1" applyFont="1" applyBorder="1" applyAlignment="1">
      <alignment horizontal="center" vertical="center"/>
    </xf>
    <xf numFmtId="0" fontId="3" fillId="0" borderId="14" xfId="5" applyFont="1" applyBorder="1" applyAlignment="1">
      <alignment horizontal="center" vertical="center"/>
    </xf>
    <xf numFmtId="0" fontId="3" fillId="0" borderId="15" xfId="5" applyFont="1" applyBorder="1" applyAlignment="1">
      <alignment horizontal="center" vertical="center"/>
    </xf>
    <xf numFmtId="0" fontId="3" fillId="0" borderId="12" xfId="5" applyFont="1" applyBorder="1" applyAlignment="1">
      <alignment horizontal="center" vertical="center"/>
    </xf>
  </cellXfs>
  <cellStyles count="23">
    <cellStyle name="no dec" xfId="3" xr:uid="{00000000-0005-0000-0000-000000000000}"/>
    <cellStyle name="Normal_APR" xfId="4" xr:uid="{00000000-0005-0000-0000-000001000000}"/>
    <cellStyle name="常规" xfId="0" builtinId="0"/>
    <cellStyle name="常规 10" xfId="15" xr:uid="{00000000-0005-0000-0000-000003000000}"/>
    <cellStyle name="常规 11" xfId="18" xr:uid="{00000000-0005-0000-0000-000004000000}"/>
    <cellStyle name="常规 12" xfId="20" xr:uid="{00000000-0005-0000-0000-000005000000}"/>
    <cellStyle name="常规 13" xfId="19" xr:uid="{00000000-0005-0000-0000-000006000000}"/>
    <cellStyle name="常规 14" xfId="17" xr:uid="{00000000-0005-0000-0000-000007000000}"/>
    <cellStyle name="常规 15" xfId="22" xr:uid="{00000000-0005-0000-0000-000008000000}"/>
    <cellStyle name="常规 2" xfId="1" xr:uid="{00000000-0005-0000-0000-000009000000}"/>
    <cellStyle name="常规 2 2" xfId="5" xr:uid="{00000000-0005-0000-0000-00000A000000}"/>
    <cellStyle name="常规 2 3" xfId="21" xr:uid="{00000000-0005-0000-0000-00000B000000}"/>
    <cellStyle name="常规 3" xfId="9" xr:uid="{00000000-0005-0000-0000-00000C000000}"/>
    <cellStyle name="常规 4" xfId="14" xr:uid="{00000000-0005-0000-0000-00000D000000}"/>
    <cellStyle name="常规 5" xfId="12" xr:uid="{00000000-0005-0000-0000-00000E000000}"/>
    <cellStyle name="常规 6" xfId="11" xr:uid="{00000000-0005-0000-0000-00000F000000}"/>
    <cellStyle name="常规 7" xfId="10" xr:uid="{00000000-0005-0000-0000-000010000000}"/>
    <cellStyle name="常规 8" xfId="13" xr:uid="{00000000-0005-0000-0000-000011000000}"/>
    <cellStyle name="常规 9" xfId="16" xr:uid="{00000000-0005-0000-0000-000012000000}"/>
    <cellStyle name="常规_L17（样）" xfId="2" xr:uid="{00000000-0005-0000-0000-000013000000}"/>
    <cellStyle name="普通_laroux" xfId="6" xr:uid="{00000000-0005-0000-0000-000014000000}"/>
    <cellStyle name="千分位[0]_laroux" xfId="7" xr:uid="{00000000-0005-0000-0000-000015000000}"/>
    <cellStyle name="千分位_laroux" xfId="8" xr:uid="{00000000-0005-0000-0000-000016000000}"/>
  </cellStyles>
  <dxfs count="80"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fill>
        <patternFill>
          <bgColor theme="9" tint="0.79998168889431442"/>
        </patternFill>
      </fill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91440</xdr:colOff>
      <xdr:row>33</xdr:row>
      <xdr:rowOff>76198</xdr:rowOff>
    </xdr:from>
    <xdr:to>
      <xdr:col>20</xdr:col>
      <xdr:colOff>99060</xdr:colOff>
      <xdr:row>47</xdr:row>
      <xdr:rowOff>152399</xdr:rowOff>
    </xdr:to>
    <xdr:sp macro="" textlink="">
      <xdr:nvSpPr>
        <xdr:cNvPr id="4" name="Line 16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 flipV="1">
          <a:off x="3436620" y="8351518"/>
          <a:ext cx="7620" cy="242316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36195</xdr:colOff>
      <xdr:row>40</xdr:row>
      <xdr:rowOff>100012</xdr:rowOff>
    </xdr:from>
    <xdr:to>
      <xdr:col>35</xdr:col>
      <xdr:colOff>28575</xdr:colOff>
      <xdr:row>40</xdr:row>
      <xdr:rowOff>119062</xdr:rowOff>
    </xdr:to>
    <xdr:sp macro="" textlink="">
      <xdr:nvSpPr>
        <xdr:cNvPr id="5" name="Line 35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 flipV="1">
          <a:off x="1250633" y="10184606"/>
          <a:ext cx="5957411" cy="1905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7620</xdr:colOff>
      <xdr:row>23</xdr:row>
      <xdr:rowOff>91216</xdr:rowOff>
    </xdr:from>
    <xdr:to>
      <xdr:col>35</xdr:col>
      <xdr:colOff>72390</xdr:colOff>
      <xdr:row>23</xdr:row>
      <xdr:rowOff>102646</xdr:rowOff>
    </xdr:to>
    <xdr:sp macro="" textlink="">
      <xdr:nvSpPr>
        <xdr:cNvPr id="6" name="Line 16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217855" y="6870775"/>
          <a:ext cx="6003888" cy="1143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103346</xdr:colOff>
      <xdr:row>16</xdr:row>
      <xdr:rowOff>38100</xdr:rowOff>
    </xdr:from>
    <xdr:to>
      <xdr:col>20</xdr:col>
      <xdr:colOff>110965</xdr:colOff>
      <xdr:row>30</xdr:row>
      <xdr:rowOff>129540</xdr:rowOff>
    </xdr:to>
    <xdr:sp macro="" textlink="">
      <xdr:nvSpPr>
        <xdr:cNvPr id="7" name="Line 16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 bwMode="auto">
        <a:xfrm flipV="1">
          <a:off x="4103846" y="5419725"/>
          <a:ext cx="7619" cy="275844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42</xdr:col>
      <xdr:colOff>164352</xdr:colOff>
      <xdr:row>59</xdr:row>
      <xdr:rowOff>22411</xdr:rowOff>
    </xdr:from>
    <xdr:to>
      <xdr:col>46</xdr:col>
      <xdr:colOff>141230</xdr:colOff>
      <xdr:row>59</xdr:row>
      <xdr:rowOff>313764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8117" y="14470529"/>
          <a:ext cx="723937" cy="291353"/>
        </a:xfrm>
        <a:prstGeom prst="rect">
          <a:avLst/>
        </a:prstGeom>
      </xdr:spPr>
    </xdr:pic>
    <xdr:clientData/>
  </xdr:twoCellAnchor>
  <xdr:twoCellAnchor editAs="oneCell">
    <xdr:from>
      <xdr:col>3</xdr:col>
      <xdr:colOff>141939</xdr:colOff>
      <xdr:row>59</xdr:row>
      <xdr:rowOff>22413</xdr:rowOff>
    </xdr:from>
    <xdr:to>
      <xdr:col>7</xdr:col>
      <xdr:colOff>118817</xdr:colOff>
      <xdr:row>59</xdr:row>
      <xdr:rowOff>330842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233" y="14470531"/>
          <a:ext cx="723937" cy="308429"/>
        </a:xfrm>
        <a:prstGeom prst="rect">
          <a:avLst/>
        </a:prstGeom>
      </xdr:spPr>
    </xdr:pic>
    <xdr:clientData/>
  </xdr:twoCellAnchor>
  <xdr:twoCellAnchor editAs="oneCell">
    <xdr:from>
      <xdr:col>22</xdr:col>
      <xdr:colOff>149409</xdr:colOff>
      <xdr:row>59</xdr:row>
      <xdr:rowOff>7471</xdr:rowOff>
    </xdr:from>
    <xdr:to>
      <xdr:col>27</xdr:col>
      <xdr:colOff>9377</xdr:colOff>
      <xdr:row>59</xdr:row>
      <xdr:rowOff>334041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58233" y="14455589"/>
          <a:ext cx="793791" cy="32657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</xdr:row>
      <xdr:rowOff>201707</xdr:rowOff>
    </xdr:from>
    <xdr:to>
      <xdr:col>49</xdr:col>
      <xdr:colOff>49741</xdr:colOff>
      <xdr:row>7</xdr:row>
      <xdr:rowOff>14941</xdr:rowOff>
    </xdr:to>
    <xdr:pic>
      <xdr:nvPicPr>
        <xdr:cNvPr id="12" name="Picture 7" descr="G2A0023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2765" y="1243854"/>
          <a:ext cx="2470211" cy="1202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112061</xdr:colOff>
      <xdr:row>3</xdr:row>
      <xdr:rowOff>344395</xdr:rowOff>
    </xdr:from>
    <xdr:to>
      <xdr:col>47</xdr:col>
      <xdr:colOff>164799</xdr:colOff>
      <xdr:row>6</xdr:row>
      <xdr:rowOff>196149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7866532" y="1386542"/>
          <a:ext cx="1868091" cy="8939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208" name="Line 169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>
          <a:spLocks noChangeShapeType="1"/>
        </xdr:cNvSpPr>
      </xdr:nvSpPr>
      <xdr:spPr bwMode="auto">
        <a:xfrm flipV="1">
          <a:off x="3861436" y="3457573"/>
          <a:ext cx="0" cy="35814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09" name="Line 169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>
          <a:spLocks noChangeShapeType="1"/>
        </xdr:cNvSpPr>
      </xdr:nvSpPr>
      <xdr:spPr bwMode="auto">
        <a:xfrm rot="5400000" flipV="1">
          <a:off x="3821909" y="3129916"/>
          <a:ext cx="0" cy="4895852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29</xdr:col>
      <xdr:colOff>38100</xdr:colOff>
      <xdr:row>29</xdr:row>
      <xdr:rowOff>38100</xdr:rowOff>
    </xdr:from>
    <xdr:to>
      <xdr:col>29</xdr:col>
      <xdr:colOff>114300</xdr:colOff>
      <xdr:row>30</xdr:row>
      <xdr:rowOff>6582</xdr:rowOff>
    </xdr:to>
    <xdr:sp macro="" textlink="">
      <xdr:nvSpPr>
        <xdr:cNvPr id="8" name="Text Box 7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3981450" y="7639050"/>
          <a:ext cx="76200" cy="222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29</xdr:col>
      <xdr:colOff>38100</xdr:colOff>
      <xdr:row>30</xdr:row>
      <xdr:rowOff>38100</xdr:rowOff>
    </xdr:from>
    <xdr:ext cx="76200" cy="218342"/>
    <xdr:sp macro="" textlink="">
      <xdr:nvSpPr>
        <xdr:cNvPr id="9" name="Text Box 7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3981450" y="7899400"/>
          <a:ext cx="76200" cy="218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38100</xdr:colOff>
      <xdr:row>31</xdr:row>
      <xdr:rowOff>38100</xdr:rowOff>
    </xdr:from>
    <xdr:ext cx="76200" cy="218342"/>
    <xdr:sp macro="" textlink="">
      <xdr:nvSpPr>
        <xdr:cNvPr id="10" name="Text Box 77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3981450" y="8159750"/>
          <a:ext cx="76200" cy="218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1" name="Line 169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2" name="Line 169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3" name="Line 169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4" name="Line 169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6" name="Line 169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7" name="Line 169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8" name="Line 169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9" name="Line 16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0" name="Line 16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1" name="Line 169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93821</xdr:colOff>
      <xdr:row>28</xdr:row>
      <xdr:rowOff>21429</xdr:rowOff>
    </xdr:from>
    <xdr:to>
      <xdr:col>20</xdr:col>
      <xdr:colOff>101441</xdr:colOff>
      <xdr:row>42</xdr:row>
      <xdr:rowOff>9523</xdr:rowOff>
    </xdr:to>
    <xdr:sp macro="" textlink="">
      <xdr:nvSpPr>
        <xdr:cNvPr id="22" name="Line 169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ShapeType="1"/>
        </xdr:cNvSpPr>
      </xdr:nvSpPr>
      <xdr:spPr bwMode="auto">
        <a:xfrm flipV="1">
          <a:off x="4094321" y="7908129"/>
          <a:ext cx="7620" cy="3455194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76204</xdr:colOff>
      <xdr:row>35</xdr:row>
      <xdr:rowOff>124779</xdr:rowOff>
    </xdr:from>
    <xdr:to>
      <xdr:col>33</xdr:col>
      <xdr:colOff>161931</xdr:colOff>
      <xdr:row>35</xdr:row>
      <xdr:rowOff>124779</xdr:rowOff>
    </xdr:to>
    <xdr:sp macro="" textlink="">
      <xdr:nvSpPr>
        <xdr:cNvPr id="23" name="Line 169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ShapeType="1"/>
        </xdr:cNvSpPr>
      </xdr:nvSpPr>
      <xdr:spPr bwMode="auto">
        <a:xfrm rot="5400000" flipV="1">
          <a:off x="4119568" y="7101840"/>
          <a:ext cx="0" cy="5286377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zh-CN" altLang="en-US"/>
        </a:p>
      </xdr:txBody>
    </xdr:sp>
    <xdr:clientData/>
  </xdr:twoCellAnchor>
  <xdr:twoCellAnchor editAs="oneCell">
    <xdr:from>
      <xdr:col>27</xdr:col>
      <xdr:colOff>38100</xdr:colOff>
      <xdr:row>30</xdr:row>
      <xdr:rowOff>38100</xdr:rowOff>
    </xdr:from>
    <xdr:to>
      <xdr:col>27</xdr:col>
      <xdr:colOff>114300</xdr:colOff>
      <xdr:row>31</xdr:row>
      <xdr:rowOff>6582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5838825" y="8172450"/>
          <a:ext cx="76200" cy="2161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27</xdr:col>
      <xdr:colOff>38100</xdr:colOff>
      <xdr:row>31</xdr:row>
      <xdr:rowOff>38100</xdr:rowOff>
    </xdr:from>
    <xdr:ext cx="76200" cy="218342"/>
    <xdr:sp macro="" textlink="">
      <xdr:nvSpPr>
        <xdr:cNvPr id="25" name="Text Box 77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5838825" y="8420100"/>
          <a:ext cx="76200" cy="218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38100</xdr:colOff>
      <xdr:row>32</xdr:row>
      <xdr:rowOff>38100</xdr:rowOff>
    </xdr:from>
    <xdr:ext cx="76200" cy="218342"/>
    <xdr:sp macro="" textlink="">
      <xdr:nvSpPr>
        <xdr:cNvPr id="26" name="Text Box 77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5838825" y="8667750"/>
          <a:ext cx="76200" cy="218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27</xdr:col>
      <xdr:colOff>38100</xdr:colOff>
      <xdr:row>30</xdr:row>
      <xdr:rowOff>38100</xdr:rowOff>
    </xdr:from>
    <xdr:to>
      <xdr:col>27</xdr:col>
      <xdr:colOff>114300</xdr:colOff>
      <xdr:row>31</xdr:row>
      <xdr:rowOff>6582</xdr:rowOff>
    </xdr:to>
    <xdr:sp macro="" textlink="">
      <xdr:nvSpPr>
        <xdr:cNvPr id="27" name="Text Box 77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5838825" y="8172450"/>
          <a:ext cx="76200" cy="2161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27</xdr:col>
      <xdr:colOff>38100</xdr:colOff>
      <xdr:row>31</xdr:row>
      <xdr:rowOff>38100</xdr:rowOff>
    </xdr:from>
    <xdr:ext cx="76200" cy="218342"/>
    <xdr:sp macro="" textlink="">
      <xdr:nvSpPr>
        <xdr:cNvPr id="28" name="Text Box 7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5838825" y="8420100"/>
          <a:ext cx="76200" cy="218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38100</xdr:colOff>
      <xdr:row>32</xdr:row>
      <xdr:rowOff>38100</xdr:rowOff>
    </xdr:from>
    <xdr:ext cx="76200" cy="218342"/>
    <xdr:sp macro="" textlink="">
      <xdr:nvSpPr>
        <xdr:cNvPr id="29" name="Text Box 77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5838825" y="8667750"/>
          <a:ext cx="76200" cy="218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38100</xdr:colOff>
      <xdr:row>33</xdr:row>
      <xdr:rowOff>38100</xdr:rowOff>
    </xdr:from>
    <xdr:ext cx="76200" cy="222482"/>
    <xdr:sp macro="" textlink="">
      <xdr:nvSpPr>
        <xdr:cNvPr id="33" name="Text Box 77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5838825" y="8915400"/>
          <a:ext cx="76200" cy="222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38100</xdr:colOff>
      <xdr:row>34</xdr:row>
      <xdr:rowOff>38100</xdr:rowOff>
    </xdr:from>
    <xdr:ext cx="76200" cy="218342"/>
    <xdr:sp macro="" textlink="">
      <xdr:nvSpPr>
        <xdr:cNvPr id="34" name="Text Box 77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5838825" y="9163050"/>
          <a:ext cx="76200" cy="218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38100</xdr:colOff>
      <xdr:row>34</xdr:row>
      <xdr:rowOff>38100</xdr:rowOff>
    </xdr:from>
    <xdr:ext cx="76200" cy="222482"/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5838825" y="9163050"/>
          <a:ext cx="76200" cy="222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38100</xdr:colOff>
      <xdr:row>37</xdr:row>
      <xdr:rowOff>38100</xdr:rowOff>
    </xdr:from>
    <xdr:ext cx="76200" cy="222482"/>
    <xdr:sp macro="" textlink="">
      <xdr:nvSpPr>
        <xdr:cNvPr id="37" name="Text Box 77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5838825" y="9906000"/>
          <a:ext cx="76200" cy="222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38100</xdr:colOff>
      <xdr:row>38</xdr:row>
      <xdr:rowOff>38100</xdr:rowOff>
    </xdr:from>
    <xdr:ext cx="76200" cy="218342"/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5838825" y="10153650"/>
          <a:ext cx="76200" cy="218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33</xdr:col>
      <xdr:colOff>38100</xdr:colOff>
      <xdr:row>38</xdr:row>
      <xdr:rowOff>38100</xdr:rowOff>
    </xdr:from>
    <xdr:ext cx="76200" cy="222482"/>
    <xdr:sp macro="" textlink="">
      <xdr:nvSpPr>
        <xdr:cNvPr id="39" name="Text Box 77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7038975" y="10153650"/>
          <a:ext cx="76200" cy="222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33</xdr:col>
      <xdr:colOff>38100</xdr:colOff>
      <xdr:row>39</xdr:row>
      <xdr:rowOff>38100</xdr:rowOff>
    </xdr:from>
    <xdr:ext cx="76200" cy="218342"/>
    <xdr:sp macro="" textlink="">
      <xdr:nvSpPr>
        <xdr:cNvPr id="40" name="Text Box 77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7038975" y="10401300"/>
          <a:ext cx="76200" cy="218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43</xdr:col>
      <xdr:colOff>0</xdr:colOff>
      <xdr:row>53</xdr:row>
      <xdr:rowOff>23814</xdr:rowOff>
    </xdr:from>
    <xdr:to>
      <xdr:col>46</xdr:col>
      <xdr:colOff>176250</xdr:colOff>
      <xdr:row>53</xdr:row>
      <xdr:rowOff>315167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0188" y="14200189"/>
          <a:ext cx="723937" cy="291353"/>
        </a:xfrm>
        <a:prstGeom prst="rect">
          <a:avLst/>
        </a:prstGeom>
      </xdr:spPr>
    </xdr:pic>
    <xdr:clientData/>
  </xdr:twoCellAnchor>
  <xdr:twoCellAnchor editAs="oneCell">
    <xdr:from>
      <xdr:col>3</xdr:col>
      <xdr:colOff>158748</xdr:colOff>
      <xdr:row>53</xdr:row>
      <xdr:rowOff>15876</xdr:rowOff>
    </xdr:from>
    <xdr:to>
      <xdr:col>7</xdr:col>
      <xdr:colOff>152435</xdr:colOff>
      <xdr:row>53</xdr:row>
      <xdr:rowOff>324305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436" y="14192251"/>
          <a:ext cx="723937" cy="308429"/>
        </a:xfrm>
        <a:prstGeom prst="rect">
          <a:avLst/>
        </a:prstGeom>
      </xdr:spPr>
    </xdr:pic>
    <xdr:clientData/>
  </xdr:twoCellAnchor>
  <xdr:twoCellAnchor editAs="oneCell">
    <xdr:from>
      <xdr:col>23</xdr:col>
      <xdr:colOff>47616</xdr:colOff>
      <xdr:row>53</xdr:row>
      <xdr:rowOff>7938</xdr:rowOff>
    </xdr:from>
    <xdr:to>
      <xdr:col>27</xdr:col>
      <xdr:colOff>111157</xdr:colOff>
      <xdr:row>53</xdr:row>
      <xdr:rowOff>334508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46554" y="14184313"/>
          <a:ext cx="793791" cy="3265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4" name="Line 169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5" name="Line 169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3" name="Line 169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7" name="Line 169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8" name="Line 16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29</xdr:col>
      <xdr:colOff>38100</xdr:colOff>
      <xdr:row>29</xdr:row>
      <xdr:rowOff>38100</xdr:rowOff>
    </xdr:from>
    <xdr:to>
      <xdr:col>29</xdr:col>
      <xdr:colOff>114300</xdr:colOff>
      <xdr:row>30</xdr:row>
      <xdr:rowOff>6582</xdr:rowOff>
    </xdr:to>
    <xdr:sp macro="" textlink="">
      <xdr:nvSpPr>
        <xdr:cNvPr id="14" name="Text Box 77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981450" y="7639050"/>
          <a:ext cx="76200" cy="222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29</xdr:col>
      <xdr:colOff>38100</xdr:colOff>
      <xdr:row>30</xdr:row>
      <xdr:rowOff>38100</xdr:rowOff>
    </xdr:from>
    <xdr:ext cx="76200" cy="218342"/>
    <xdr:sp macro="" textlink="">
      <xdr:nvSpPr>
        <xdr:cNvPr id="15" name="Text Box 77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3981450" y="7899400"/>
          <a:ext cx="76200" cy="218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38100</xdr:colOff>
      <xdr:row>31</xdr:row>
      <xdr:rowOff>38100</xdr:rowOff>
    </xdr:from>
    <xdr:ext cx="76200" cy="218342"/>
    <xdr:sp macro="" textlink="">
      <xdr:nvSpPr>
        <xdr:cNvPr id="16" name="Text Box 7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3981450" y="8159750"/>
          <a:ext cx="76200" cy="218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38100</xdr:colOff>
      <xdr:row>31</xdr:row>
      <xdr:rowOff>38100</xdr:rowOff>
    </xdr:from>
    <xdr:ext cx="76200" cy="218342"/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4127500" y="8159750"/>
          <a:ext cx="76200" cy="218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38100</xdr:colOff>
      <xdr:row>33</xdr:row>
      <xdr:rowOff>38100</xdr:rowOff>
    </xdr:from>
    <xdr:ext cx="76200" cy="218342"/>
    <xdr:sp macro="" textlink="">
      <xdr:nvSpPr>
        <xdr:cNvPr id="18" name="Text Box 7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>
          <a:spLocks noChangeArrowheads="1"/>
        </xdr:cNvSpPr>
      </xdr:nvSpPr>
      <xdr:spPr bwMode="auto">
        <a:xfrm>
          <a:off x="4127500" y="8680450"/>
          <a:ext cx="76200" cy="218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6</xdr:col>
      <xdr:colOff>195262</xdr:colOff>
      <xdr:row>34</xdr:row>
      <xdr:rowOff>133350</xdr:rowOff>
    </xdr:from>
    <xdr:to>
      <xdr:col>34</xdr:col>
      <xdr:colOff>78581</xdr:colOff>
      <xdr:row>34</xdr:row>
      <xdr:rowOff>133350</xdr:rowOff>
    </xdr:to>
    <xdr:sp macro="" textlink="">
      <xdr:nvSpPr>
        <xdr:cNvPr id="20" name="Line 355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ShapeType="1"/>
        </xdr:cNvSpPr>
      </xdr:nvSpPr>
      <xdr:spPr bwMode="auto">
        <a:xfrm>
          <a:off x="1409700" y="9586913"/>
          <a:ext cx="5550694" cy="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21" name="Line 169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2" name="Line 169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3" name="Line 169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4" name="Line 169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5" name="Line 169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6" name="Line 169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7" name="Line 169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8" name="Line 169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9" name="Line 169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30" name="Line 16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31" name="Line 169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32" name="Line 169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27</xdr:col>
      <xdr:colOff>38100</xdr:colOff>
      <xdr:row>29</xdr:row>
      <xdr:rowOff>38100</xdr:rowOff>
    </xdr:from>
    <xdr:ext cx="76200" cy="218514"/>
    <xdr:sp macro="" textlink="">
      <xdr:nvSpPr>
        <xdr:cNvPr id="33" name="Text Box 77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>
          <a:spLocks noChangeArrowheads="1"/>
        </xdr:cNvSpPr>
      </xdr:nvSpPr>
      <xdr:spPr bwMode="auto">
        <a:xfrm>
          <a:off x="5907881" y="8241506"/>
          <a:ext cx="76200" cy="2185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38100</xdr:colOff>
      <xdr:row>30</xdr:row>
      <xdr:rowOff>38100</xdr:rowOff>
    </xdr:from>
    <xdr:ext cx="76200" cy="218342"/>
    <xdr:sp macro="" textlink="">
      <xdr:nvSpPr>
        <xdr:cNvPr id="34" name="Text Box 7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>
          <a:spLocks noChangeArrowheads="1"/>
        </xdr:cNvSpPr>
      </xdr:nvSpPr>
      <xdr:spPr bwMode="auto">
        <a:xfrm>
          <a:off x="5907881" y="8491538"/>
          <a:ext cx="76200" cy="218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38100</xdr:colOff>
      <xdr:row>31</xdr:row>
      <xdr:rowOff>38100</xdr:rowOff>
    </xdr:from>
    <xdr:ext cx="76200" cy="218342"/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>
          <a:spLocks noChangeArrowheads="1"/>
        </xdr:cNvSpPr>
      </xdr:nvSpPr>
      <xdr:spPr bwMode="auto">
        <a:xfrm>
          <a:off x="5907881" y="8741569"/>
          <a:ext cx="76200" cy="218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28</xdr:col>
      <xdr:colOff>38100</xdr:colOff>
      <xdr:row>31</xdr:row>
      <xdr:rowOff>38100</xdr:rowOff>
    </xdr:from>
    <xdr:ext cx="76200" cy="218342"/>
    <xdr:sp macro="" textlink="">
      <xdr:nvSpPr>
        <xdr:cNvPr id="36" name="Text Box 77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>
          <a:spLocks noChangeArrowheads="1"/>
        </xdr:cNvSpPr>
      </xdr:nvSpPr>
      <xdr:spPr bwMode="auto">
        <a:xfrm>
          <a:off x="6110288" y="8741569"/>
          <a:ext cx="76200" cy="218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28</xdr:col>
      <xdr:colOff>38100</xdr:colOff>
      <xdr:row>33</xdr:row>
      <xdr:rowOff>38100</xdr:rowOff>
    </xdr:from>
    <xdr:ext cx="76200" cy="218342"/>
    <xdr:sp macro="" textlink="">
      <xdr:nvSpPr>
        <xdr:cNvPr id="37" name="Text Box 77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>
          <a:spLocks noChangeArrowheads="1"/>
        </xdr:cNvSpPr>
      </xdr:nvSpPr>
      <xdr:spPr bwMode="auto">
        <a:xfrm>
          <a:off x="6110288" y="9241631"/>
          <a:ext cx="76200" cy="218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20</xdr:col>
      <xdr:colOff>98356</xdr:colOff>
      <xdr:row>28</xdr:row>
      <xdr:rowOff>41413</xdr:rowOff>
    </xdr:from>
    <xdr:to>
      <xdr:col>20</xdr:col>
      <xdr:colOff>106638</xdr:colOff>
      <xdr:row>40</xdr:row>
      <xdr:rowOff>231913</xdr:rowOff>
    </xdr:to>
    <xdr:sp macro="" textlink="">
      <xdr:nvSpPr>
        <xdr:cNvPr id="38" name="Line 169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ShapeType="1"/>
        </xdr:cNvSpPr>
      </xdr:nvSpPr>
      <xdr:spPr bwMode="auto">
        <a:xfrm flipV="1">
          <a:off x="4146481" y="7994788"/>
          <a:ext cx="8282" cy="3190875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42</xdr:col>
      <xdr:colOff>174625</xdr:colOff>
      <xdr:row>53</xdr:row>
      <xdr:rowOff>23814</xdr:rowOff>
    </xdr:from>
    <xdr:to>
      <xdr:col>46</xdr:col>
      <xdr:colOff>168312</xdr:colOff>
      <xdr:row>53</xdr:row>
      <xdr:rowOff>315167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2250" y="14200189"/>
          <a:ext cx="723937" cy="291353"/>
        </a:xfrm>
        <a:prstGeom prst="rect">
          <a:avLst/>
        </a:prstGeom>
      </xdr:spPr>
    </xdr:pic>
    <xdr:clientData/>
  </xdr:twoCellAnchor>
  <xdr:twoCellAnchor editAs="oneCell">
    <xdr:from>
      <xdr:col>3</xdr:col>
      <xdr:colOff>158745</xdr:colOff>
      <xdr:row>53</xdr:row>
      <xdr:rowOff>23814</xdr:rowOff>
    </xdr:from>
    <xdr:to>
      <xdr:col>7</xdr:col>
      <xdr:colOff>152432</xdr:colOff>
      <xdr:row>53</xdr:row>
      <xdr:rowOff>332243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433" y="14200189"/>
          <a:ext cx="723937" cy="308429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7938</xdr:rowOff>
    </xdr:from>
    <xdr:to>
      <xdr:col>27</xdr:col>
      <xdr:colOff>63541</xdr:colOff>
      <xdr:row>53</xdr:row>
      <xdr:rowOff>334508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8938" y="14184313"/>
          <a:ext cx="793791" cy="3265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4" name="Line 169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5" name="Line 169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3" name="Line 169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7" name="Line 169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8" name="Line 169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9" name="Line 16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0" name="Line 16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1" name="Line 169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12" name="Line 169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4" name="Line 169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171454</xdr:colOff>
      <xdr:row>34</xdr:row>
      <xdr:rowOff>133350</xdr:rowOff>
    </xdr:from>
    <xdr:to>
      <xdr:col>33</xdr:col>
      <xdr:colOff>54773</xdr:colOff>
      <xdr:row>34</xdr:row>
      <xdr:rowOff>133350</xdr:rowOff>
    </xdr:to>
    <xdr:sp macro="" textlink="">
      <xdr:nvSpPr>
        <xdr:cNvPr id="25" name="Line 355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 noChangeShapeType="1"/>
        </xdr:cNvSpPr>
      </xdr:nvSpPr>
      <xdr:spPr bwMode="auto">
        <a:xfrm>
          <a:off x="1183485" y="9586913"/>
          <a:ext cx="5550694" cy="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15" name="Line 169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6" name="Line 169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9" name="Line 169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0" name="Line 16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1" name="Line 169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2" name="Line 169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3" name="Line 169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6" name="Line 169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7" name="Line 169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8" name="Line 169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9" name="Line 169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30" name="Line 16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110262</xdr:colOff>
      <xdr:row>28</xdr:row>
      <xdr:rowOff>41413</xdr:rowOff>
    </xdr:from>
    <xdr:to>
      <xdr:col>20</xdr:col>
      <xdr:colOff>118544</xdr:colOff>
      <xdr:row>40</xdr:row>
      <xdr:rowOff>231913</xdr:rowOff>
    </xdr:to>
    <xdr:sp macro="" textlink="">
      <xdr:nvSpPr>
        <xdr:cNvPr id="34" name="Line 169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>
          <a:spLocks noChangeShapeType="1"/>
        </xdr:cNvSpPr>
      </xdr:nvSpPr>
      <xdr:spPr bwMode="auto">
        <a:xfrm flipV="1">
          <a:off x="3955981" y="7994788"/>
          <a:ext cx="8282" cy="3190875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43</xdr:col>
      <xdr:colOff>0</xdr:colOff>
      <xdr:row>53</xdr:row>
      <xdr:rowOff>23814</xdr:rowOff>
    </xdr:from>
    <xdr:to>
      <xdr:col>46</xdr:col>
      <xdr:colOff>176250</xdr:colOff>
      <xdr:row>53</xdr:row>
      <xdr:rowOff>315167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0188" y="14200189"/>
          <a:ext cx="723937" cy="291353"/>
        </a:xfrm>
        <a:prstGeom prst="rect">
          <a:avLst/>
        </a:prstGeom>
      </xdr:spPr>
    </xdr:pic>
    <xdr:clientData/>
  </xdr:twoCellAnchor>
  <xdr:twoCellAnchor editAs="oneCell">
    <xdr:from>
      <xdr:col>3</xdr:col>
      <xdr:colOff>150810</xdr:colOff>
      <xdr:row>53</xdr:row>
      <xdr:rowOff>23814</xdr:rowOff>
    </xdr:from>
    <xdr:to>
      <xdr:col>7</xdr:col>
      <xdr:colOff>144497</xdr:colOff>
      <xdr:row>53</xdr:row>
      <xdr:rowOff>332243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8498" y="14200189"/>
          <a:ext cx="723937" cy="308429"/>
        </a:xfrm>
        <a:prstGeom prst="rect">
          <a:avLst/>
        </a:prstGeom>
      </xdr:spPr>
    </xdr:pic>
    <xdr:clientData/>
  </xdr:twoCellAnchor>
  <xdr:twoCellAnchor editAs="oneCell">
    <xdr:from>
      <xdr:col>22</xdr:col>
      <xdr:colOff>174623</xdr:colOff>
      <xdr:row>53</xdr:row>
      <xdr:rowOff>7938</xdr:rowOff>
    </xdr:from>
    <xdr:to>
      <xdr:col>27</xdr:col>
      <xdr:colOff>55601</xdr:colOff>
      <xdr:row>53</xdr:row>
      <xdr:rowOff>334508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0998" y="14184313"/>
          <a:ext cx="793791" cy="3265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4" name="Line 169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5" name="Line 169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9" name="Line 16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7" name="Line 169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8" name="Line 169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0" name="Line 16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1" name="Line 169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2" name="Line 169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13" name="Line 169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4" name="Line 169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5" name="Line 169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16" name="Line 169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7" name="Line 169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18" name="Line 169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19" name="Line 169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93616</xdr:colOff>
      <xdr:row>27</xdr:row>
      <xdr:rowOff>40821</xdr:rowOff>
    </xdr:from>
    <xdr:to>
      <xdr:col>20</xdr:col>
      <xdr:colOff>93616</xdr:colOff>
      <xdr:row>42</xdr:row>
      <xdr:rowOff>68036</xdr:rowOff>
    </xdr:to>
    <xdr:sp macro="" textlink="">
      <xdr:nvSpPr>
        <xdr:cNvPr id="22" name="Line 1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 noChangeShapeType="1"/>
        </xdr:cNvSpPr>
      </xdr:nvSpPr>
      <xdr:spPr bwMode="auto">
        <a:xfrm flipV="1">
          <a:off x="4175759" y="7606392"/>
          <a:ext cx="0" cy="3701144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136072</xdr:colOff>
      <xdr:row>34</xdr:row>
      <xdr:rowOff>124779</xdr:rowOff>
    </xdr:from>
    <xdr:to>
      <xdr:col>33</xdr:col>
      <xdr:colOff>43205</xdr:colOff>
      <xdr:row>34</xdr:row>
      <xdr:rowOff>124779</xdr:rowOff>
    </xdr:to>
    <xdr:sp macro="" textlink="">
      <xdr:nvSpPr>
        <xdr:cNvPr id="23" name="Line 169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>
          <a:spLocks noChangeShapeType="1"/>
        </xdr:cNvSpPr>
      </xdr:nvSpPr>
      <xdr:spPr bwMode="auto">
        <a:xfrm rot="5400000" flipV="1">
          <a:off x="4069728" y="6695837"/>
          <a:ext cx="0" cy="5418026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136072</xdr:colOff>
      <xdr:row>34</xdr:row>
      <xdr:rowOff>124779</xdr:rowOff>
    </xdr:from>
    <xdr:to>
      <xdr:col>34</xdr:col>
      <xdr:colOff>43205</xdr:colOff>
      <xdr:row>34</xdr:row>
      <xdr:rowOff>124779</xdr:rowOff>
    </xdr:to>
    <xdr:sp macro="" textlink="">
      <xdr:nvSpPr>
        <xdr:cNvPr id="24" name="Line 169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>
          <a:spLocks noChangeShapeType="1"/>
        </xdr:cNvSpPr>
      </xdr:nvSpPr>
      <xdr:spPr bwMode="auto">
        <a:xfrm rot="5400000" flipV="1">
          <a:off x="4069728" y="6695837"/>
          <a:ext cx="0" cy="5418026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44</xdr:col>
      <xdr:colOff>0</xdr:colOff>
      <xdr:row>53</xdr:row>
      <xdr:rowOff>27213</xdr:rowOff>
    </xdr:from>
    <xdr:to>
      <xdr:col>47</xdr:col>
      <xdr:colOff>179651</xdr:colOff>
      <xdr:row>53</xdr:row>
      <xdr:rowOff>318566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2857" y="14305642"/>
          <a:ext cx="723937" cy="29135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18142</xdr:rowOff>
    </xdr:from>
    <xdr:to>
      <xdr:col>7</xdr:col>
      <xdr:colOff>179651</xdr:colOff>
      <xdr:row>53</xdr:row>
      <xdr:rowOff>326571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5714" y="14296571"/>
          <a:ext cx="723937" cy="308429"/>
        </a:xfrm>
        <a:prstGeom prst="rect">
          <a:avLst/>
        </a:prstGeom>
      </xdr:spPr>
    </xdr:pic>
    <xdr:clientData/>
  </xdr:twoCellAnchor>
  <xdr:twoCellAnchor editAs="oneCell">
    <xdr:from>
      <xdr:col>23</xdr:col>
      <xdr:colOff>9072</xdr:colOff>
      <xdr:row>53</xdr:row>
      <xdr:rowOff>9072</xdr:rowOff>
    </xdr:from>
    <xdr:to>
      <xdr:col>27</xdr:col>
      <xdr:colOff>77149</xdr:colOff>
      <xdr:row>53</xdr:row>
      <xdr:rowOff>335642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81929" y="14287501"/>
          <a:ext cx="793791" cy="3265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W61"/>
  <sheetViews>
    <sheetView tabSelected="1" zoomScale="70" zoomScaleNormal="70" zoomScaleSheetLayoutView="160" workbookViewId="0">
      <selection activeCell="AZ3" sqref="AZ3:BF3"/>
    </sheetView>
  </sheetViews>
  <sheetFormatPr defaultRowHeight="16.5"/>
  <cols>
    <col min="1" max="32" width="2.6328125" style="16" customWidth="1"/>
    <col min="33" max="33" width="3.90625" style="16" customWidth="1"/>
    <col min="34" max="58" width="2.6328125" style="16" customWidth="1"/>
    <col min="59" max="59" width="8.90625" style="16"/>
    <col min="60" max="60" width="15.453125" style="16" bestFit="1" customWidth="1"/>
    <col min="61" max="61" width="8.90625" style="16"/>
    <col min="62" max="63" width="9" style="16"/>
    <col min="64" max="64" width="25.1796875" style="16" customWidth="1"/>
    <col min="65" max="65" width="22" style="16" bestFit="1" customWidth="1"/>
    <col min="66" max="66" width="8.90625" style="16"/>
    <col min="67" max="67" width="16.08984375" style="16" bestFit="1" customWidth="1"/>
    <col min="68" max="68" width="14.6328125" style="16" bestFit="1" customWidth="1"/>
    <col min="69" max="260" width="8.90625" style="16"/>
    <col min="261" max="316" width="2.08984375" style="16" customWidth="1"/>
    <col min="317" max="516" width="8.90625" style="16"/>
    <col min="517" max="572" width="2.08984375" style="16" customWidth="1"/>
    <col min="573" max="772" width="8.90625" style="16"/>
    <col min="773" max="828" width="2.08984375" style="16" customWidth="1"/>
    <col min="829" max="1028" width="8.90625" style="16"/>
    <col min="1029" max="1084" width="2.08984375" style="16" customWidth="1"/>
    <col min="1085" max="1284" width="8.90625" style="16"/>
    <col min="1285" max="1340" width="2.08984375" style="16" customWidth="1"/>
    <col min="1341" max="1540" width="8.90625" style="16"/>
    <col min="1541" max="1596" width="2.08984375" style="16" customWidth="1"/>
    <col min="1597" max="1796" width="8.90625" style="16"/>
    <col min="1797" max="1852" width="2.08984375" style="16" customWidth="1"/>
    <col min="1853" max="2052" width="8.90625" style="16"/>
    <col min="2053" max="2108" width="2.08984375" style="16" customWidth="1"/>
    <col min="2109" max="2308" width="8.90625" style="16"/>
    <col min="2309" max="2364" width="2.08984375" style="16" customWidth="1"/>
    <col min="2365" max="2564" width="8.90625" style="16"/>
    <col min="2565" max="2620" width="2.08984375" style="16" customWidth="1"/>
    <col min="2621" max="2820" width="8.90625" style="16"/>
    <col min="2821" max="2876" width="2.08984375" style="16" customWidth="1"/>
    <col min="2877" max="3076" width="8.90625" style="16"/>
    <col min="3077" max="3132" width="2.08984375" style="16" customWidth="1"/>
    <col min="3133" max="3332" width="8.90625" style="16"/>
    <col min="3333" max="3388" width="2.08984375" style="16" customWidth="1"/>
    <col min="3389" max="3588" width="8.90625" style="16"/>
    <col min="3589" max="3644" width="2.08984375" style="16" customWidth="1"/>
    <col min="3645" max="3844" width="8.90625" style="16"/>
    <col min="3845" max="3900" width="2.08984375" style="16" customWidth="1"/>
    <col min="3901" max="4100" width="8.90625" style="16"/>
    <col min="4101" max="4156" width="2.08984375" style="16" customWidth="1"/>
    <col min="4157" max="4356" width="8.90625" style="16"/>
    <col min="4357" max="4412" width="2.08984375" style="16" customWidth="1"/>
    <col min="4413" max="4612" width="8.90625" style="16"/>
    <col min="4613" max="4668" width="2.08984375" style="16" customWidth="1"/>
    <col min="4669" max="4868" width="8.90625" style="16"/>
    <col min="4869" max="4924" width="2.08984375" style="16" customWidth="1"/>
    <col min="4925" max="5124" width="8.90625" style="16"/>
    <col min="5125" max="5180" width="2.08984375" style="16" customWidth="1"/>
    <col min="5181" max="5380" width="8.90625" style="16"/>
    <col min="5381" max="5436" width="2.08984375" style="16" customWidth="1"/>
    <col min="5437" max="5636" width="8.90625" style="16"/>
    <col min="5637" max="5692" width="2.08984375" style="16" customWidth="1"/>
    <col min="5693" max="5892" width="8.90625" style="16"/>
    <col min="5893" max="5948" width="2.08984375" style="16" customWidth="1"/>
    <col min="5949" max="6148" width="8.90625" style="16"/>
    <col min="6149" max="6204" width="2.08984375" style="16" customWidth="1"/>
    <col min="6205" max="6404" width="8.90625" style="16"/>
    <col min="6405" max="6460" width="2.08984375" style="16" customWidth="1"/>
    <col min="6461" max="6660" width="8.90625" style="16"/>
    <col min="6661" max="6716" width="2.08984375" style="16" customWidth="1"/>
    <col min="6717" max="6916" width="8.90625" style="16"/>
    <col min="6917" max="6972" width="2.08984375" style="16" customWidth="1"/>
    <col min="6973" max="7172" width="8.90625" style="16"/>
    <col min="7173" max="7228" width="2.08984375" style="16" customWidth="1"/>
    <col min="7229" max="7428" width="8.90625" style="16"/>
    <col min="7429" max="7484" width="2.08984375" style="16" customWidth="1"/>
    <col min="7485" max="7684" width="8.90625" style="16"/>
    <col min="7685" max="7740" width="2.08984375" style="16" customWidth="1"/>
    <col min="7741" max="7940" width="8.90625" style="16"/>
    <col min="7941" max="7996" width="2.08984375" style="16" customWidth="1"/>
    <col min="7997" max="8196" width="8.90625" style="16"/>
    <col min="8197" max="8252" width="2.08984375" style="16" customWidth="1"/>
    <col min="8253" max="8452" width="8.90625" style="16"/>
    <col min="8453" max="8508" width="2.08984375" style="16" customWidth="1"/>
    <col min="8509" max="8708" width="8.90625" style="16"/>
    <col min="8709" max="8764" width="2.08984375" style="16" customWidth="1"/>
    <col min="8765" max="8964" width="8.90625" style="16"/>
    <col min="8965" max="9020" width="2.08984375" style="16" customWidth="1"/>
    <col min="9021" max="9220" width="8.90625" style="16"/>
    <col min="9221" max="9276" width="2.08984375" style="16" customWidth="1"/>
    <col min="9277" max="9476" width="8.90625" style="16"/>
    <col min="9477" max="9532" width="2.08984375" style="16" customWidth="1"/>
    <col min="9533" max="9732" width="8.90625" style="16"/>
    <col min="9733" max="9788" width="2.08984375" style="16" customWidth="1"/>
    <col min="9789" max="9988" width="8.90625" style="16"/>
    <col min="9989" max="10044" width="2.08984375" style="16" customWidth="1"/>
    <col min="10045" max="10244" width="8.90625" style="16"/>
    <col min="10245" max="10300" width="2.08984375" style="16" customWidth="1"/>
    <col min="10301" max="10500" width="8.90625" style="16"/>
    <col min="10501" max="10556" width="2.08984375" style="16" customWidth="1"/>
    <col min="10557" max="10756" width="8.90625" style="16"/>
    <col min="10757" max="10812" width="2.08984375" style="16" customWidth="1"/>
    <col min="10813" max="11012" width="8.90625" style="16"/>
    <col min="11013" max="11068" width="2.08984375" style="16" customWidth="1"/>
    <col min="11069" max="11268" width="8.90625" style="16"/>
    <col min="11269" max="11324" width="2.08984375" style="16" customWidth="1"/>
    <col min="11325" max="11524" width="8.90625" style="16"/>
    <col min="11525" max="11580" width="2.08984375" style="16" customWidth="1"/>
    <col min="11581" max="11780" width="8.90625" style="16"/>
    <col min="11781" max="11836" width="2.08984375" style="16" customWidth="1"/>
    <col min="11837" max="12036" width="8.90625" style="16"/>
    <col min="12037" max="12092" width="2.08984375" style="16" customWidth="1"/>
    <col min="12093" max="12292" width="8.90625" style="16"/>
    <col min="12293" max="12348" width="2.08984375" style="16" customWidth="1"/>
    <col min="12349" max="12548" width="8.90625" style="16"/>
    <col min="12549" max="12604" width="2.08984375" style="16" customWidth="1"/>
    <col min="12605" max="12804" width="8.90625" style="16"/>
    <col min="12805" max="12860" width="2.08984375" style="16" customWidth="1"/>
    <col min="12861" max="13060" width="8.90625" style="16"/>
    <col min="13061" max="13116" width="2.08984375" style="16" customWidth="1"/>
    <col min="13117" max="13316" width="8.90625" style="16"/>
    <col min="13317" max="13372" width="2.08984375" style="16" customWidth="1"/>
    <col min="13373" max="13572" width="8.90625" style="16"/>
    <col min="13573" max="13628" width="2.08984375" style="16" customWidth="1"/>
    <col min="13629" max="13828" width="8.90625" style="16"/>
    <col min="13829" max="13884" width="2.08984375" style="16" customWidth="1"/>
    <col min="13885" max="14084" width="8.90625" style="16"/>
    <col min="14085" max="14140" width="2.08984375" style="16" customWidth="1"/>
    <col min="14141" max="14340" width="8.90625" style="16"/>
    <col min="14341" max="14396" width="2.08984375" style="16" customWidth="1"/>
    <col min="14397" max="14596" width="8.90625" style="16"/>
    <col min="14597" max="14652" width="2.08984375" style="16" customWidth="1"/>
    <col min="14653" max="14852" width="8.90625" style="16"/>
    <col min="14853" max="14908" width="2.08984375" style="16" customWidth="1"/>
    <col min="14909" max="15108" width="8.90625" style="16"/>
    <col min="15109" max="15164" width="2.08984375" style="16" customWidth="1"/>
    <col min="15165" max="15364" width="8.90625" style="16"/>
    <col min="15365" max="15420" width="2.08984375" style="16" customWidth="1"/>
    <col min="15421" max="15620" width="8.90625" style="16"/>
    <col min="15621" max="15676" width="2.08984375" style="16" customWidth="1"/>
    <col min="15677" max="15876" width="8.90625" style="16"/>
    <col min="15877" max="15932" width="2.08984375" style="16" customWidth="1"/>
    <col min="15933" max="16132" width="8.90625" style="16"/>
    <col min="16133" max="16188" width="2.08984375" style="16" customWidth="1"/>
    <col min="16189" max="16382" width="8.90625" style="16"/>
    <col min="16383" max="16384" width="8.90625" style="16" customWidth="1"/>
  </cols>
  <sheetData>
    <row r="1" spans="1:75" ht="27" customHeight="1">
      <c r="A1" s="131" t="s">
        <v>262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3"/>
      <c r="AS1" s="137" t="s">
        <v>0</v>
      </c>
      <c r="AT1" s="138"/>
      <c r="AU1" s="138"/>
      <c r="AV1" s="138"/>
      <c r="AW1" s="138"/>
      <c r="AX1" s="138"/>
      <c r="AY1" s="138"/>
      <c r="AZ1" s="143">
        <v>1.1000000000000001</v>
      </c>
      <c r="BA1" s="144"/>
      <c r="BB1" s="144"/>
      <c r="BC1" s="144"/>
      <c r="BD1" s="144"/>
      <c r="BE1" s="144"/>
      <c r="BF1" s="145"/>
    </row>
    <row r="2" spans="1:75" ht="27" customHeight="1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6"/>
      <c r="AS2" s="127" t="s">
        <v>36</v>
      </c>
      <c r="AT2" s="123"/>
      <c r="AU2" s="123"/>
      <c r="AV2" s="123"/>
      <c r="AW2" s="123"/>
      <c r="AX2" s="123"/>
      <c r="AY2" s="123"/>
      <c r="AZ2" s="146" t="s">
        <v>303</v>
      </c>
      <c r="BA2" s="147"/>
      <c r="BB2" s="147"/>
      <c r="BC2" s="147"/>
      <c r="BD2" s="147"/>
      <c r="BE2" s="147"/>
      <c r="BF2" s="148"/>
      <c r="BH2" s="94"/>
      <c r="BI2" s="16" t="s">
        <v>304</v>
      </c>
      <c r="BJ2" s="16" t="s">
        <v>127</v>
      </c>
      <c r="BK2" s="16" t="s">
        <v>125</v>
      </c>
      <c r="BL2" s="16" t="s">
        <v>186</v>
      </c>
      <c r="BM2" s="16" t="s">
        <v>148</v>
      </c>
      <c r="BN2" s="88" t="s">
        <v>101</v>
      </c>
      <c r="BO2" s="88" t="s">
        <v>134</v>
      </c>
      <c r="BP2" s="89" t="s">
        <v>105</v>
      </c>
      <c r="BQ2" s="90" t="s">
        <v>106</v>
      </c>
      <c r="BR2" s="90">
        <v>100</v>
      </c>
      <c r="BS2" s="88" t="s">
        <v>109</v>
      </c>
      <c r="BT2" s="88" t="s">
        <v>111</v>
      </c>
      <c r="BU2" s="91" t="s">
        <v>114</v>
      </c>
      <c r="BV2" s="16">
        <v>8</v>
      </c>
      <c r="BW2" s="16" t="s">
        <v>217</v>
      </c>
    </row>
    <row r="3" spans="1:75" s="1" customFormat="1" ht="27" customHeight="1">
      <c r="A3" s="141" t="s">
        <v>1</v>
      </c>
      <c r="B3" s="123"/>
      <c r="C3" s="123"/>
      <c r="D3" s="123"/>
      <c r="E3" s="123"/>
      <c r="F3" s="123"/>
      <c r="G3" s="123"/>
      <c r="H3" s="123"/>
      <c r="I3" s="142" t="s">
        <v>282</v>
      </c>
      <c r="J3" s="123"/>
      <c r="K3" s="123"/>
      <c r="L3" s="123"/>
      <c r="M3" s="123"/>
      <c r="N3" s="123"/>
      <c r="O3" s="123"/>
      <c r="P3" s="123" t="s">
        <v>2</v>
      </c>
      <c r="Q3" s="123"/>
      <c r="R3" s="123"/>
      <c r="S3" s="123"/>
      <c r="T3" s="123"/>
      <c r="U3" s="123"/>
      <c r="V3" s="123"/>
      <c r="W3" s="123" t="s">
        <v>300</v>
      </c>
      <c r="X3" s="123"/>
      <c r="Y3" s="123"/>
      <c r="Z3" s="123"/>
      <c r="AA3" s="123"/>
      <c r="AB3" s="123"/>
      <c r="AC3" s="123"/>
      <c r="AD3" s="123" t="s">
        <v>236</v>
      </c>
      <c r="AE3" s="123"/>
      <c r="AF3" s="123"/>
      <c r="AG3" s="123"/>
      <c r="AH3" s="123"/>
      <c r="AI3" s="123"/>
      <c r="AJ3" s="123"/>
      <c r="AK3" s="123"/>
      <c r="AL3" s="130" t="s">
        <v>294</v>
      </c>
      <c r="AM3" s="126"/>
      <c r="AN3" s="126"/>
      <c r="AO3" s="126"/>
      <c r="AP3" s="126"/>
      <c r="AQ3" s="126"/>
      <c r="AR3" s="127"/>
      <c r="AS3" s="123" t="s">
        <v>3</v>
      </c>
      <c r="AT3" s="123"/>
      <c r="AU3" s="123"/>
      <c r="AV3" s="123"/>
      <c r="AW3" s="123"/>
      <c r="AX3" s="123"/>
      <c r="AY3" s="123"/>
      <c r="AZ3" s="123" t="s">
        <v>244</v>
      </c>
      <c r="BA3" s="123"/>
      <c r="BB3" s="123"/>
      <c r="BC3" s="123"/>
      <c r="BD3" s="123"/>
      <c r="BE3" s="123"/>
      <c r="BF3" s="124"/>
      <c r="BH3" s="94"/>
      <c r="BI3" s="1" t="s">
        <v>87</v>
      </c>
      <c r="BJ3" s="16" t="s">
        <v>128</v>
      </c>
      <c r="BK3" s="1" t="s">
        <v>126</v>
      </c>
      <c r="BL3" s="1" t="s">
        <v>187</v>
      </c>
      <c r="BM3" s="16" t="s">
        <v>149</v>
      </c>
      <c r="BN3" s="88" t="s">
        <v>102</v>
      </c>
      <c r="BO3" s="88" t="s">
        <v>135</v>
      </c>
      <c r="BP3" s="89" t="s">
        <v>104</v>
      </c>
      <c r="BQ3" s="90" t="s">
        <v>107</v>
      </c>
      <c r="BR3" s="90">
        <v>0.5</v>
      </c>
      <c r="BS3" s="88" t="s">
        <v>110</v>
      </c>
      <c r="BT3" s="95" t="s">
        <v>113</v>
      </c>
      <c r="BU3" s="91" t="s">
        <v>257</v>
      </c>
      <c r="BV3" s="1">
        <v>9</v>
      </c>
      <c r="BW3" s="1" t="s">
        <v>218</v>
      </c>
    </row>
    <row r="4" spans="1:75" s="1" customFormat="1" ht="27" customHeight="1">
      <c r="A4" s="125" t="s">
        <v>39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7"/>
      <c r="AD4" s="78" t="s">
        <v>43</v>
      </c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39" t="s">
        <v>44</v>
      </c>
      <c r="BF4" s="77"/>
      <c r="BH4" s="94"/>
      <c r="BI4" s="16" t="s">
        <v>220</v>
      </c>
      <c r="BJ4" s="16" t="s">
        <v>129</v>
      </c>
      <c r="BL4" s="1" t="s">
        <v>188</v>
      </c>
      <c r="BM4" s="16" t="s">
        <v>150</v>
      </c>
      <c r="BN4" s="88" t="s">
        <v>103</v>
      </c>
      <c r="BO4" s="88" t="s">
        <v>136</v>
      </c>
      <c r="BP4" s="89"/>
      <c r="BQ4" s="90" t="s">
        <v>108</v>
      </c>
      <c r="BR4" s="90">
        <v>0.05</v>
      </c>
      <c r="BS4" s="88"/>
      <c r="BT4" s="88" t="s">
        <v>112</v>
      </c>
      <c r="BU4" s="91"/>
      <c r="BV4" s="1">
        <v>10</v>
      </c>
    </row>
    <row r="5" spans="1:75" s="1" customFormat="1" ht="27" customHeight="1">
      <c r="A5" s="125" t="s">
        <v>40</v>
      </c>
      <c r="B5" s="126"/>
      <c r="C5" s="126"/>
      <c r="D5" s="126"/>
      <c r="E5" s="126"/>
      <c r="F5" s="126"/>
      <c r="G5" s="126"/>
      <c r="H5" s="127"/>
      <c r="I5" s="130" t="s">
        <v>283</v>
      </c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 t="s">
        <v>305</v>
      </c>
      <c r="AB5" s="126"/>
      <c r="AC5" s="127"/>
      <c r="AD5" s="128"/>
      <c r="AE5" s="129"/>
      <c r="AF5" s="129"/>
      <c r="AG5" s="129"/>
      <c r="AH5" s="129"/>
      <c r="AI5" s="129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40"/>
      <c r="BF5" s="77"/>
      <c r="BH5" s="94"/>
      <c r="BI5" s="16" t="s">
        <v>221</v>
      </c>
      <c r="BJ5" s="16" t="s">
        <v>130</v>
      </c>
      <c r="BL5" s="1" t="s">
        <v>189</v>
      </c>
      <c r="BM5" s="16" t="s">
        <v>89</v>
      </c>
      <c r="BO5" s="1" t="s">
        <v>139</v>
      </c>
      <c r="BT5" s="1" t="s">
        <v>256</v>
      </c>
      <c r="BU5" s="91"/>
      <c r="BV5" s="16">
        <v>11</v>
      </c>
    </row>
    <row r="6" spans="1:75" s="1" customFormat="1" ht="27" customHeight="1">
      <c r="A6" s="125" t="s">
        <v>41</v>
      </c>
      <c r="B6" s="126"/>
      <c r="C6" s="126"/>
      <c r="D6" s="126"/>
      <c r="E6" s="126"/>
      <c r="F6" s="126"/>
      <c r="G6" s="126"/>
      <c r="H6" s="127"/>
      <c r="I6" s="130" t="s">
        <v>306</v>
      </c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7"/>
      <c r="AD6" s="69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63" t="s">
        <v>45</v>
      </c>
      <c r="BF6" s="77"/>
      <c r="BH6" s="94"/>
      <c r="BI6" s="16" t="s">
        <v>222</v>
      </c>
      <c r="BJ6" s="16" t="s">
        <v>131</v>
      </c>
      <c r="BL6" s="1" t="s">
        <v>190</v>
      </c>
      <c r="BM6" s="1" t="s">
        <v>151</v>
      </c>
      <c r="BO6" s="1" t="s">
        <v>140</v>
      </c>
      <c r="BT6" s="1" t="s">
        <v>235</v>
      </c>
      <c r="BU6" s="91"/>
      <c r="BV6" s="1">
        <v>12</v>
      </c>
    </row>
    <row r="7" spans="1:75" s="1" customFormat="1" ht="27" customHeight="1">
      <c r="A7" s="149" t="s">
        <v>42</v>
      </c>
      <c r="B7" s="129"/>
      <c r="C7" s="129"/>
      <c r="D7" s="129"/>
      <c r="E7" s="129"/>
      <c r="F7" s="129"/>
      <c r="G7" s="129"/>
      <c r="H7" s="129"/>
      <c r="I7" s="153" t="s">
        <v>186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4"/>
      <c r="AD7" s="69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63"/>
      <c r="BF7" s="77"/>
      <c r="BI7" s="16" t="s">
        <v>223</v>
      </c>
      <c r="BJ7" s="16" t="s">
        <v>132</v>
      </c>
      <c r="BL7" s="1" t="s">
        <v>191</v>
      </c>
      <c r="BM7" s="16" t="s">
        <v>152</v>
      </c>
      <c r="BO7" s="1" t="s">
        <v>141</v>
      </c>
      <c r="BU7" s="91"/>
      <c r="BV7" s="1">
        <v>13</v>
      </c>
    </row>
    <row r="8" spans="1:75" s="1" customFormat="1" ht="27" customHeight="1">
      <c r="A8" s="76"/>
      <c r="B8" s="108"/>
      <c r="C8" s="108"/>
      <c r="D8" s="108"/>
      <c r="E8" s="108"/>
      <c r="F8" s="108"/>
      <c r="G8" s="108"/>
      <c r="H8" s="108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2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64"/>
      <c r="BF8" s="70"/>
      <c r="BI8" s="16" t="s">
        <v>224</v>
      </c>
      <c r="BL8" s="1" t="s">
        <v>192</v>
      </c>
      <c r="BM8" s="20" t="s">
        <v>98</v>
      </c>
      <c r="BO8" s="1" t="s">
        <v>142</v>
      </c>
      <c r="BU8" s="91"/>
      <c r="BV8" s="16">
        <v>14</v>
      </c>
    </row>
    <row r="9" spans="1:75" ht="27" customHeight="1">
      <c r="A9" s="150" t="s">
        <v>4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7"/>
      <c r="BI9" s="16" t="s">
        <v>225</v>
      </c>
      <c r="BL9" s="16" t="s">
        <v>193</v>
      </c>
      <c r="BM9" s="1" t="s">
        <v>153</v>
      </c>
      <c r="BU9" s="91"/>
      <c r="BV9" s="1">
        <v>15</v>
      </c>
    </row>
    <row r="10" spans="1:75" ht="27" customHeight="1">
      <c r="A10" s="150" t="s">
        <v>5</v>
      </c>
      <c r="B10" s="151"/>
      <c r="C10" s="151"/>
      <c r="D10" s="151"/>
      <c r="E10" s="151"/>
      <c r="F10" s="151"/>
      <c r="G10" s="151"/>
      <c r="H10" s="152"/>
      <c r="I10" s="130" t="s">
        <v>284</v>
      </c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7"/>
      <c r="AD10" s="158" t="s">
        <v>6</v>
      </c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60"/>
      <c r="AS10" s="167" t="s">
        <v>7</v>
      </c>
      <c r="AT10" s="165"/>
      <c r="AU10" s="165"/>
      <c r="AV10" s="165"/>
      <c r="AW10" s="165"/>
      <c r="AX10" s="165"/>
      <c r="AY10" s="165"/>
      <c r="AZ10" s="165"/>
      <c r="BA10" s="165"/>
      <c r="BB10" s="165"/>
      <c r="BC10" s="165"/>
      <c r="BD10" s="165"/>
      <c r="BE10" s="165"/>
      <c r="BF10" s="166"/>
      <c r="BI10" s="16" t="s">
        <v>268</v>
      </c>
      <c r="BL10" s="16" t="s">
        <v>194</v>
      </c>
      <c r="BM10" s="16" t="s">
        <v>154</v>
      </c>
      <c r="BV10" s="1">
        <v>16</v>
      </c>
    </row>
    <row r="11" spans="1:75" ht="27" customHeight="1">
      <c r="A11" s="150" t="s">
        <v>8</v>
      </c>
      <c r="B11" s="151"/>
      <c r="C11" s="151"/>
      <c r="D11" s="151"/>
      <c r="E11" s="151"/>
      <c r="F11" s="151"/>
      <c r="G11" s="151"/>
      <c r="H11" s="152"/>
      <c r="I11" s="130" t="s">
        <v>245</v>
      </c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7"/>
      <c r="AD11" s="167" t="s">
        <v>49</v>
      </c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8"/>
      <c r="AS11" s="167">
        <v>12</v>
      </c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 t="s">
        <v>116</v>
      </c>
      <c r="BE11" s="165"/>
      <c r="BF11" s="166"/>
      <c r="BI11" s="17"/>
      <c r="BJ11" s="17"/>
      <c r="BK11" s="17"/>
      <c r="BL11" s="16" t="s">
        <v>195</v>
      </c>
      <c r="BM11" s="1" t="s">
        <v>91</v>
      </c>
      <c r="BV11" s="16">
        <v>17</v>
      </c>
    </row>
    <row r="12" spans="1:75" ht="27" customHeight="1">
      <c r="A12" s="150" t="s">
        <v>10</v>
      </c>
      <c r="B12" s="151"/>
      <c r="C12" s="151"/>
      <c r="D12" s="151"/>
      <c r="E12" s="151"/>
      <c r="F12" s="151"/>
      <c r="G12" s="151"/>
      <c r="H12" s="152"/>
      <c r="I12" s="195">
        <v>44.5</v>
      </c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26" t="s">
        <v>11</v>
      </c>
      <c r="AC12" s="127"/>
      <c r="AD12" s="167" t="s">
        <v>50</v>
      </c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8"/>
      <c r="AS12" s="167">
        <v>4</v>
      </c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165" t="s">
        <v>117</v>
      </c>
      <c r="BE12" s="165"/>
      <c r="BF12" s="166"/>
      <c r="BL12" s="16" t="s">
        <v>196</v>
      </c>
      <c r="BM12" s="16" t="s">
        <v>88</v>
      </c>
    </row>
    <row r="13" spans="1:75" ht="27" customHeight="1">
      <c r="A13" s="202" t="s">
        <v>12</v>
      </c>
      <c r="B13" s="203"/>
      <c r="C13" s="203"/>
      <c r="D13" s="203"/>
      <c r="E13" s="203"/>
      <c r="F13" s="203"/>
      <c r="G13" s="203"/>
      <c r="H13" s="203"/>
      <c r="I13" s="195">
        <v>17.5</v>
      </c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26" t="s">
        <v>11</v>
      </c>
      <c r="AC13" s="127"/>
      <c r="AD13" s="167" t="s">
        <v>13</v>
      </c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8"/>
      <c r="AS13" s="167" t="s">
        <v>285</v>
      </c>
      <c r="AT13" s="165"/>
      <c r="AU13" s="165"/>
      <c r="AV13" s="165"/>
      <c r="AW13" s="165"/>
      <c r="AX13" s="165"/>
      <c r="AY13" s="165"/>
      <c r="AZ13" s="165"/>
      <c r="BA13" s="165"/>
      <c r="BB13" s="165"/>
      <c r="BC13" s="165"/>
      <c r="BD13" s="165" t="s">
        <v>285</v>
      </c>
      <c r="BE13" s="165"/>
      <c r="BF13" s="166"/>
      <c r="BL13" s="16" t="s">
        <v>197</v>
      </c>
      <c r="BM13" s="16" t="s">
        <v>93</v>
      </c>
    </row>
    <row r="14" spans="1:75" ht="27" customHeight="1">
      <c r="A14" s="204" t="s">
        <v>14</v>
      </c>
      <c r="B14" s="205"/>
      <c r="C14" s="205"/>
      <c r="D14" s="205"/>
      <c r="E14" s="205"/>
      <c r="F14" s="205"/>
      <c r="G14" s="205"/>
      <c r="H14" s="206"/>
      <c r="I14" s="200">
        <v>1374</v>
      </c>
      <c r="J14" s="201"/>
      <c r="K14" s="201"/>
      <c r="L14" s="201"/>
      <c r="M14" s="201"/>
      <c r="N14" s="201"/>
      <c r="O14" s="201"/>
      <c r="P14" s="201"/>
      <c r="Q14" s="201"/>
      <c r="R14" s="201"/>
      <c r="S14" s="199" t="s">
        <v>247</v>
      </c>
      <c r="T14" s="199"/>
      <c r="U14" s="199"/>
      <c r="V14" s="199"/>
      <c r="W14" s="199"/>
      <c r="X14" s="199"/>
      <c r="Y14" s="199"/>
      <c r="Z14" s="199"/>
      <c r="AA14" s="199"/>
      <c r="AB14" s="126" t="s">
        <v>115</v>
      </c>
      <c r="AC14" s="127"/>
      <c r="AD14" s="167" t="s">
        <v>34</v>
      </c>
      <c r="AE14" s="165"/>
      <c r="AF14" s="165" t="s">
        <v>9</v>
      </c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8"/>
      <c r="AS14" s="167">
        <v>2100</v>
      </c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 t="s">
        <v>46</v>
      </c>
      <c r="BE14" s="165"/>
      <c r="BF14" s="166"/>
      <c r="BL14" s="16" t="s">
        <v>198</v>
      </c>
      <c r="BM14" s="16" t="s">
        <v>155</v>
      </c>
    </row>
    <row r="15" spans="1:75" ht="27" customHeight="1">
      <c r="A15" s="190" t="s">
        <v>15</v>
      </c>
      <c r="B15" s="191"/>
      <c r="C15" s="191"/>
      <c r="D15" s="191"/>
      <c r="E15" s="191"/>
      <c r="F15" s="191"/>
      <c r="G15" s="191"/>
      <c r="H15" s="192"/>
      <c r="I15" s="200">
        <v>1430</v>
      </c>
      <c r="J15" s="201"/>
      <c r="K15" s="201"/>
      <c r="L15" s="201"/>
      <c r="M15" s="201"/>
      <c r="N15" s="201"/>
      <c r="O15" s="201"/>
      <c r="P15" s="201"/>
      <c r="Q15" s="201"/>
      <c r="R15" s="201"/>
      <c r="S15" s="199" t="s">
        <v>247</v>
      </c>
      <c r="T15" s="199"/>
      <c r="U15" s="199"/>
      <c r="V15" s="199"/>
      <c r="W15" s="199"/>
      <c r="X15" s="199"/>
      <c r="Y15" s="199"/>
      <c r="Z15" s="199"/>
      <c r="AA15" s="199"/>
      <c r="AB15" s="126" t="s">
        <v>115</v>
      </c>
      <c r="AC15" s="127"/>
      <c r="AD15" s="167" t="s">
        <v>35</v>
      </c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8"/>
      <c r="AS15" s="175" t="s">
        <v>271</v>
      </c>
      <c r="AT15" s="176"/>
      <c r="AU15" s="176"/>
      <c r="AV15" s="176"/>
      <c r="AW15" s="176"/>
      <c r="AX15" s="176"/>
      <c r="AY15" s="176"/>
      <c r="AZ15" s="176"/>
      <c r="BA15" s="176"/>
      <c r="BB15" s="176"/>
      <c r="BC15" s="176"/>
      <c r="BD15" s="165" t="s">
        <v>219</v>
      </c>
      <c r="BE15" s="165"/>
      <c r="BF15" s="166"/>
      <c r="BM15" s="16" t="s">
        <v>99</v>
      </c>
    </row>
    <row r="16" spans="1:75" ht="18.75" customHeight="1">
      <c r="A16" s="18"/>
      <c r="F16" s="2"/>
      <c r="G16" s="74" t="s">
        <v>295</v>
      </c>
      <c r="H16" s="74">
        <v>-13</v>
      </c>
      <c r="I16" s="74">
        <v>-12</v>
      </c>
      <c r="J16" s="74">
        <v>-11</v>
      </c>
      <c r="K16" s="74">
        <v>-10</v>
      </c>
      <c r="L16" s="74">
        <v>-9</v>
      </c>
      <c r="M16" s="74">
        <v>-8</v>
      </c>
      <c r="N16" s="3">
        <v>-7</v>
      </c>
      <c r="O16" s="3">
        <v>-6</v>
      </c>
      <c r="P16" s="3">
        <v>-5</v>
      </c>
      <c r="Q16" s="3">
        <v>-4</v>
      </c>
      <c r="R16" s="3">
        <v>-3</v>
      </c>
      <c r="S16" s="3">
        <v>-2</v>
      </c>
      <c r="T16" s="3">
        <v>-1</v>
      </c>
      <c r="U16" s="3">
        <v>0</v>
      </c>
      <c r="V16" s="3">
        <v>1</v>
      </c>
      <c r="W16" s="3">
        <v>2</v>
      </c>
      <c r="X16" s="3">
        <v>3</v>
      </c>
      <c r="Y16" s="3">
        <v>4</v>
      </c>
      <c r="Z16" s="3">
        <v>5</v>
      </c>
      <c r="AA16" s="3">
        <v>6</v>
      </c>
      <c r="AB16" s="3">
        <v>7</v>
      </c>
      <c r="AC16" s="3">
        <v>8</v>
      </c>
      <c r="AD16" s="3">
        <v>9</v>
      </c>
      <c r="AE16" s="3">
        <v>10</v>
      </c>
      <c r="AF16" s="3">
        <v>11</v>
      </c>
      <c r="AG16" s="3">
        <v>12</v>
      </c>
      <c r="AH16" s="3">
        <v>13</v>
      </c>
      <c r="AI16" s="3">
        <v>14</v>
      </c>
      <c r="AJ16" s="4"/>
      <c r="AK16" s="19"/>
      <c r="AL16" s="19"/>
      <c r="AM16" s="19"/>
      <c r="AT16" s="20"/>
      <c r="AU16" s="20" t="s">
        <v>16</v>
      </c>
      <c r="AV16" s="20"/>
      <c r="AW16" s="20"/>
      <c r="AX16" s="21" t="s">
        <v>17</v>
      </c>
      <c r="AY16" s="22" t="s">
        <v>18</v>
      </c>
      <c r="AZ16" s="20"/>
      <c r="BA16" s="20"/>
      <c r="BB16" s="20"/>
      <c r="BC16" s="23" t="s">
        <v>19</v>
      </c>
      <c r="BD16" s="20" t="s">
        <v>20</v>
      </c>
      <c r="BE16" s="20"/>
      <c r="BF16" s="24"/>
      <c r="BM16" s="16" t="s">
        <v>156</v>
      </c>
    </row>
    <row r="17" spans="1:65" ht="15" customHeight="1">
      <c r="A17" s="18"/>
      <c r="C17" s="82"/>
      <c r="F17" s="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5"/>
      <c r="AK17" s="19"/>
      <c r="AL17" s="19"/>
      <c r="AM17" s="19"/>
      <c r="AT17" s="20"/>
      <c r="AU17" s="20"/>
      <c r="AV17" s="20"/>
      <c r="AW17" s="20"/>
      <c r="AX17" s="103" t="s">
        <v>32</v>
      </c>
      <c r="AY17" s="20" t="s">
        <v>242</v>
      </c>
      <c r="AZ17" s="20"/>
      <c r="BA17" s="20"/>
      <c r="BB17" s="20"/>
      <c r="BC17" s="23"/>
      <c r="BD17" s="20"/>
      <c r="BE17" s="20"/>
      <c r="BF17" s="24"/>
      <c r="BM17" s="16" t="s">
        <v>90</v>
      </c>
    </row>
    <row r="18" spans="1:65" ht="15" customHeight="1">
      <c r="A18" s="18"/>
      <c r="B18" s="207" t="s">
        <v>241</v>
      </c>
      <c r="C18" s="207"/>
      <c r="F18" s="5">
        <v>6</v>
      </c>
      <c r="G18" s="6" t="s">
        <v>296</v>
      </c>
      <c r="H18" s="6" t="s">
        <v>296</v>
      </c>
      <c r="I18" s="6" t="s">
        <v>296</v>
      </c>
      <c r="J18" s="111" t="s">
        <v>121</v>
      </c>
      <c r="K18" s="110" t="s">
        <v>32</v>
      </c>
      <c r="L18" s="110" t="s">
        <v>32</v>
      </c>
      <c r="M18" s="110" t="s">
        <v>32</v>
      </c>
      <c r="N18" s="110" t="s">
        <v>32</v>
      </c>
      <c r="O18" s="110" t="s">
        <v>32</v>
      </c>
      <c r="P18" s="110" t="s">
        <v>32</v>
      </c>
      <c r="Q18" s="110" t="s">
        <v>32</v>
      </c>
      <c r="R18" s="110" t="s">
        <v>297</v>
      </c>
      <c r="S18" s="110" t="s">
        <v>32</v>
      </c>
      <c r="T18" s="110" t="s">
        <v>32</v>
      </c>
      <c r="U18" s="110" t="s">
        <v>32</v>
      </c>
      <c r="V18" s="110" t="s">
        <v>297</v>
      </c>
      <c r="W18" s="110" t="s">
        <v>32</v>
      </c>
      <c r="X18" s="110" t="s">
        <v>297</v>
      </c>
      <c r="Y18" s="110" t="s">
        <v>32</v>
      </c>
      <c r="Z18" s="110" t="s">
        <v>32</v>
      </c>
      <c r="AA18" s="110" t="s">
        <v>32</v>
      </c>
      <c r="AB18" s="110" t="s">
        <v>297</v>
      </c>
      <c r="AC18" s="110" t="s">
        <v>32</v>
      </c>
      <c r="AD18" s="110" t="s">
        <v>32</v>
      </c>
      <c r="AE18" s="110" t="s">
        <v>32</v>
      </c>
      <c r="AF18" s="111" t="s">
        <v>121</v>
      </c>
      <c r="AG18" s="6" t="s">
        <v>296</v>
      </c>
      <c r="AH18" s="6" t="s">
        <v>296</v>
      </c>
      <c r="AI18" s="6" t="s">
        <v>296</v>
      </c>
      <c r="AJ18" s="5">
        <v>6</v>
      </c>
      <c r="AK18" s="5"/>
      <c r="AL18" s="19"/>
      <c r="AM18" s="19"/>
      <c r="AX18" s="106"/>
      <c r="AY18" s="22" t="s">
        <v>143</v>
      </c>
      <c r="BF18" s="25"/>
      <c r="BM18" s="16" t="s">
        <v>95</v>
      </c>
    </row>
    <row r="19" spans="1:65" ht="15" customHeight="1">
      <c r="A19" s="18"/>
      <c r="B19" s="207"/>
      <c r="C19" s="207"/>
      <c r="F19" s="5">
        <v>5</v>
      </c>
      <c r="G19" s="6" t="s">
        <v>296</v>
      </c>
      <c r="H19" s="6" t="s">
        <v>296</v>
      </c>
      <c r="I19" s="110" t="s">
        <v>32</v>
      </c>
      <c r="J19" s="110" t="s">
        <v>32</v>
      </c>
      <c r="K19" s="110" t="s">
        <v>32</v>
      </c>
      <c r="L19" s="110" t="s">
        <v>32</v>
      </c>
      <c r="M19" s="110" t="s">
        <v>297</v>
      </c>
      <c r="N19" s="110" t="s">
        <v>32</v>
      </c>
      <c r="O19" s="110" t="s">
        <v>297</v>
      </c>
      <c r="P19" s="110" t="s">
        <v>32</v>
      </c>
      <c r="Q19" s="110" t="s">
        <v>297</v>
      </c>
      <c r="R19" s="110" t="s">
        <v>32</v>
      </c>
      <c r="S19" s="110" t="s">
        <v>297</v>
      </c>
      <c r="T19" s="110" t="s">
        <v>32</v>
      </c>
      <c r="U19" s="110" t="s">
        <v>297</v>
      </c>
      <c r="V19" s="110" t="s">
        <v>32</v>
      </c>
      <c r="W19" s="110" t="s">
        <v>297</v>
      </c>
      <c r="X19" s="110" t="s">
        <v>32</v>
      </c>
      <c r="Y19" s="110" t="s">
        <v>297</v>
      </c>
      <c r="Z19" s="110" t="s">
        <v>32</v>
      </c>
      <c r="AA19" s="110" t="s">
        <v>297</v>
      </c>
      <c r="AB19" s="110" t="s">
        <v>32</v>
      </c>
      <c r="AC19" s="110" t="s">
        <v>297</v>
      </c>
      <c r="AD19" s="110" t="s">
        <v>297</v>
      </c>
      <c r="AE19" s="110" t="s">
        <v>297</v>
      </c>
      <c r="AF19" s="110" t="s">
        <v>32</v>
      </c>
      <c r="AG19" s="110" t="s">
        <v>32</v>
      </c>
      <c r="AH19" s="6" t="s">
        <v>296</v>
      </c>
      <c r="AI19" s="6" t="s">
        <v>296</v>
      </c>
      <c r="AJ19" s="5">
        <v>5</v>
      </c>
      <c r="AK19" s="5"/>
      <c r="AL19" s="19"/>
      <c r="AM19" s="19"/>
      <c r="AX19" s="16" t="s">
        <v>266</v>
      </c>
      <c r="AY19" s="16" t="s">
        <v>267</v>
      </c>
      <c r="BF19" s="25"/>
      <c r="BM19" s="16" t="s">
        <v>157</v>
      </c>
    </row>
    <row r="20" spans="1:65" ht="15" customHeight="1">
      <c r="A20" s="18"/>
      <c r="B20" s="207"/>
      <c r="C20" s="207"/>
      <c r="F20" s="5">
        <v>4</v>
      </c>
      <c r="G20" s="6" t="s">
        <v>296</v>
      </c>
      <c r="H20" s="110" t="s">
        <v>32</v>
      </c>
      <c r="I20" s="110" t="s">
        <v>32</v>
      </c>
      <c r="J20" s="110" t="s">
        <v>32</v>
      </c>
      <c r="K20" s="110" t="s">
        <v>297</v>
      </c>
      <c r="L20" s="110" t="s">
        <v>297</v>
      </c>
      <c r="M20" s="110" t="s">
        <v>32</v>
      </c>
      <c r="N20" s="110" t="s">
        <v>297</v>
      </c>
      <c r="O20" s="110" t="s">
        <v>297</v>
      </c>
      <c r="P20" s="110" t="s">
        <v>32</v>
      </c>
      <c r="Q20" s="110" t="s">
        <v>32</v>
      </c>
      <c r="R20" s="110" t="s">
        <v>32</v>
      </c>
      <c r="S20" s="110" t="s">
        <v>32</v>
      </c>
      <c r="T20" s="110" t="s">
        <v>32</v>
      </c>
      <c r="U20" s="110" t="s">
        <v>32</v>
      </c>
      <c r="V20" s="110" t="s">
        <v>32</v>
      </c>
      <c r="W20" s="110" t="s">
        <v>32</v>
      </c>
      <c r="X20" s="110" t="s">
        <v>32</v>
      </c>
      <c r="Y20" s="110" t="s">
        <v>32</v>
      </c>
      <c r="Z20" s="110" t="s">
        <v>32</v>
      </c>
      <c r="AA20" s="110" t="s">
        <v>32</v>
      </c>
      <c r="AB20" s="110" t="s">
        <v>32</v>
      </c>
      <c r="AC20" s="110" t="s">
        <v>32</v>
      </c>
      <c r="AD20" s="110" t="s">
        <v>32</v>
      </c>
      <c r="AE20" s="110" t="s">
        <v>32</v>
      </c>
      <c r="AF20" s="110" t="s">
        <v>297</v>
      </c>
      <c r="AG20" s="110" t="s">
        <v>297</v>
      </c>
      <c r="AH20" s="6" t="s">
        <v>32</v>
      </c>
      <c r="AI20" s="6" t="s">
        <v>296</v>
      </c>
      <c r="AJ20" s="5">
        <v>4</v>
      </c>
      <c r="AK20" s="5"/>
      <c r="AL20" s="19"/>
      <c r="AM20" s="19"/>
      <c r="BF20" s="25"/>
      <c r="BM20" s="16" t="s">
        <v>158</v>
      </c>
    </row>
    <row r="21" spans="1:65" ht="15" customHeight="1">
      <c r="A21" s="18"/>
      <c r="B21" s="207"/>
      <c r="C21" s="207"/>
      <c r="F21" s="5">
        <v>3</v>
      </c>
      <c r="G21" s="6" t="s">
        <v>296</v>
      </c>
      <c r="H21" s="110" t="s">
        <v>32</v>
      </c>
      <c r="I21" s="110" t="s">
        <v>32</v>
      </c>
      <c r="J21" s="110" t="s">
        <v>297</v>
      </c>
      <c r="K21" s="110" t="s">
        <v>32</v>
      </c>
      <c r="L21" s="110" t="s">
        <v>32</v>
      </c>
      <c r="M21" s="110" t="s">
        <v>32</v>
      </c>
      <c r="N21" s="110" t="s">
        <v>32</v>
      </c>
      <c r="O21" s="110" t="s">
        <v>32</v>
      </c>
      <c r="P21" s="110" t="s">
        <v>32</v>
      </c>
      <c r="Q21" s="110" t="s">
        <v>32</v>
      </c>
      <c r="R21" s="110" t="s">
        <v>32</v>
      </c>
      <c r="S21" s="110" t="s">
        <v>32</v>
      </c>
      <c r="T21" s="110" t="s">
        <v>32</v>
      </c>
      <c r="U21" s="110" t="s">
        <v>32</v>
      </c>
      <c r="V21" s="110" t="s">
        <v>32</v>
      </c>
      <c r="W21" s="110" t="s">
        <v>32</v>
      </c>
      <c r="X21" s="110" t="s">
        <v>32</v>
      </c>
      <c r="Y21" s="110" t="s">
        <v>32</v>
      </c>
      <c r="Z21" s="110" t="s">
        <v>32</v>
      </c>
      <c r="AA21" s="110" t="s">
        <v>32</v>
      </c>
      <c r="AB21" s="110" t="s">
        <v>32</v>
      </c>
      <c r="AC21" s="110" t="s">
        <v>32</v>
      </c>
      <c r="AD21" s="110" t="s">
        <v>32</v>
      </c>
      <c r="AE21" s="110" t="s">
        <v>32</v>
      </c>
      <c r="AF21" s="110" t="s">
        <v>32</v>
      </c>
      <c r="AG21" s="110" t="s">
        <v>32</v>
      </c>
      <c r="AH21" s="6" t="s">
        <v>32</v>
      </c>
      <c r="AI21" s="6" t="s">
        <v>296</v>
      </c>
      <c r="AJ21" s="5">
        <v>3</v>
      </c>
      <c r="AK21" s="5"/>
      <c r="AL21" s="19"/>
      <c r="AM21" s="208"/>
      <c r="AS21" s="72"/>
      <c r="AT21" s="179" t="s">
        <v>47</v>
      </c>
      <c r="AU21" s="177"/>
      <c r="AV21" s="177"/>
      <c r="AW21" s="177"/>
      <c r="AX21" s="177"/>
      <c r="AY21" s="177"/>
      <c r="AZ21" s="180"/>
      <c r="BA21" s="177" t="s">
        <v>216</v>
      </c>
      <c r="BB21" s="177"/>
      <c r="BC21" s="177"/>
      <c r="BD21" s="177"/>
      <c r="BE21" s="177"/>
      <c r="BF21" s="178"/>
      <c r="BM21" s="16" t="s">
        <v>159</v>
      </c>
    </row>
    <row r="22" spans="1:65" ht="15" customHeight="1">
      <c r="A22" s="18"/>
      <c r="B22" s="207"/>
      <c r="C22" s="207"/>
      <c r="F22" s="5">
        <v>2</v>
      </c>
      <c r="G22" s="6" t="s">
        <v>296</v>
      </c>
      <c r="H22" s="110" t="s">
        <v>32</v>
      </c>
      <c r="I22" s="110" t="s">
        <v>32</v>
      </c>
      <c r="J22" s="110" t="s">
        <v>297</v>
      </c>
      <c r="K22" s="110" t="s">
        <v>32</v>
      </c>
      <c r="L22" s="110" t="s">
        <v>32</v>
      </c>
      <c r="M22" s="110" t="s">
        <v>32</v>
      </c>
      <c r="N22" s="110" t="s">
        <v>32</v>
      </c>
      <c r="O22" s="110" t="s">
        <v>32</v>
      </c>
      <c r="P22" s="110" t="s">
        <v>32</v>
      </c>
      <c r="Q22" s="110" t="s">
        <v>32</v>
      </c>
      <c r="R22" s="110" t="s">
        <v>32</v>
      </c>
      <c r="S22" s="110" t="s">
        <v>32</v>
      </c>
      <c r="T22" s="110" t="s">
        <v>297</v>
      </c>
      <c r="U22" s="110" t="s">
        <v>297</v>
      </c>
      <c r="V22" s="110" t="s">
        <v>297</v>
      </c>
      <c r="W22" s="110" t="s">
        <v>32</v>
      </c>
      <c r="X22" s="110" t="s">
        <v>32</v>
      </c>
      <c r="Y22" s="110" t="s">
        <v>297</v>
      </c>
      <c r="Z22" s="110" t="s">
        <v>297</v>
      </c>
      <c r="AA22" s="110" t="s">
        <v>297</v>
      </c>
      <c r="AB22" s="110" t="s">
        <v>297</v>
      </c>
      <c r="AC22" s="110" t="s">
        <v>297</v>
      </c>
      <c r="AD22" s="110" t="s">
        <v>32</v>
      </c>
      <c r="AE22" s="110" t="s">
        <v>32</v>
      </c>
      <c r="AF22" s="110" t="s">
        <v>297</v>
      </c>
      <c r="AG22" s="110" t="s">
        <v>32</v>
      </c>
      <c r="AH22" s="6" t="s">
        <v>32</v>
      </c>
      <c r="AI22" s="6" t="s">
        <v>296</v>
      </c>
      <c r="AJ22" s="5">
        <v>2</v>
      </c>
      <c r="AK22" s="5"/>
      <c r="AL22" s="19"/>
      <c r="AM22" s="208"/>
      <c r="AT22" s="181" t="s">
        <v>144</v>
      </c>
      <c r="AU22" s="182"/>
      <c r="AV22" s="182"/>
      <c r="AW22" s="182"/>
      <c r="AX22" s="182"/>
      <c r="AY22" s="183"/>
      <c r="AZ22" s="93">
        <v>1</v>
      </c>
      <c r="BA22" s="173">
        <v>400</v>
      </c>
      <c r="BB22" s="174"/>
      <c r="BC22" s="169"/>
      <c r="BD22" s="170"/>
      <c r="BE22" s="171"/>
      <c r="BF22" s="172"/>
      <c r="BM22" s="16" t="s">
        <v>160</v>
      </c>
    </row>
    <row r="23" spans="1:65" ht="15" customHeight="1">
      <c r="A23" s="18"/>
      <c r="B23" s="207"/>
      <c r="C23" s="207"/>
      <c r="F23" s="5">
        <v>1</v>
      </c>
      <c r="G23" s="6" t="s">
        <v>296</v>
      </c>
      <c r="H23" s="110" t="s">
        <v>32</v>
      </c>
      <c r="I23" s="110" t="s">
        <v>297</v>
      </c>
      <c r="J23" s="110" t="s">
        <v>32</v>
      </c>
      <c r="K23" s="110" t="s">
        <v>32</v>
      </c>
      <c r="L23" s="110" t="s">
        <v>32</v>
      </c>
      <c r="M23" s="110" t="s">
        <v>32</v>
      </c>
      <c r="N23" s="110" t="s">
        <v>32</v>
      </c>
      <c r="O23" s="110" t="s">
        <v>32</v>
      </c>
      <c r="P23" s="110" t="s">
        <v>32</v>
      </c>
      <c r="Q23" s="110" t="s">
        <v>32</v>
      </c>
      <c r="R23" s="110" t="s">
        <v>32</v>
      </c>
      <c r="S23" s="110" t="s">
        <v>297</v>
      </c>
      <c r="T23" s="110" t="s">
        <v>32</v>
      </c>
      <c r="U23" s="110" t="s">
        <v>32</v>
      </c>
      <c r="V23" s="110" t="s">
        <v>297</v>
      </c>
      <c r="W23" s="110" t="s">
        <v>32</v>
      </c>
      <c r="X23" s="110" t="s">
        <v>32</v>
      </c>
      <c r="Y23" s="110" t="s">
        <v>297</v>
      </c>
      <c r="Z23" s="110" t="s">
        <v>32</v>
      </c>
      <c r="AA23" s="110" t="s">
        <v>32</v>
      </c>
      <c r="AB23" s="110" t="s">
        <v>32</v>
      </c>
      <c r="AC23" s="110" t="s">
        <v>297</v>
      </c>
      <c r="AD23" s="110" t="s">
        <v>32</v>
      </c>
      <c r="AE23" s="110" t="s">
        <v>32</v>
      </c>
      <c r="AF23" s="110" t="s">
        <v>32</v>
      </c>
      <c r="AG23" s="110" t="s">
        <v>297</v>
      </c>
      <c r="AH23" s="6" t="s">
        <v>32</v>
      </c>
      <c r="AI23" s="6" t="s">
        <v>296</v>
      </c>
      <c r="AJ23" s="5">
        <v>1</v>
      </c>
      <c r="AK23" s="5"/>
      <c r="AL23" s="19"/>
      <c r="AM23" s="208"/>
      <c r="AT23" s="184"/>
      <c r="AU23" s="185"/>
      <c r="AV23" s="185"/>
      <c r="AW23" s="185"/>
      <c r="AX23" s="185"/>
      <c r="AY23" s="186"/>
      <c r="AZ23" s="93">
        <v>2</v>
      </c>
      <c r="BA23" s="173">
        <v>400</v>
      </c>
      <c r="BB23" s="174"/>
      <c r="BC23" s="169"/>
      <c r="BD23" s="170"/>
      <c r="BE23" s="171"/>
      <c r="BF23" s="172"/>
      <c r="BM23" s="16" t="s">
        <v>161</v>
      </c>
    </row>
    <row r="24" spans="1:65" ht="15" customHeight="1">
      <c r="A24" s="18"/>
      <c r="B24" s="207"/>
      <c r="C24" s="207"/>
      <c r="F24" s="5">
        <v>0</v>
      </c>
      <c r="G24" s="6" t="s">
        <v>296</v>
      </c>
      <c r="H24" s="110" t="s">
        <v>32</v>
      </c>
      <c r="I24" s="110" t="s">
        <v>32</v>
      </c>
      <c r="J24" s="110" t="s">
        <v>297</v>
      </c>
      <c r="K24" s="110" t="s">
        <v>32</v>
      </c>
      <c r="L24" s="110" t="s">
        <v>32</v>
      </c>
      <c r="M24" s="110" t="s">
        <v>32</v>
      </c>
      <c r="N24" s="110" t="s">
        <v>32</v>
      </c>
      <c r="O24" s="110" t="s">
        <v>32</v>
      </c>
      <c r="P24" s="110" t="s">
        <v>32</v>
      </c>
      <c r="Q24" s="110" t="s">
        <v>32</v>
      </c>
      <c r="R24" s="110" t="s">
        <v>32</v>
      </c>
      <c r="S24" s="110" t="s">
        <v>297</v>
      </c>
      <c r="T24" s="110" t="s">
        <v>32</v>
      </c>
      <c r="U24" s="110" t="s">
        <v>297</v>
      </c>
      <c r="V24" s="110" t="s">
        <v>297</v>
      </c>
      <c r="W24" s="110" t="s">
        <v>32</v>
      </c>
      <c r="X24" s="110" t="s">
        <v>32</v>
      </c>
      <c r="Y24" s="110" t="s">
        <v>297</v>
      </c>
      <c r="Z24" s="110" t="s">
        <v>32</v>
      </c>
      <c r="AA24" s="110" t="s">
        <v>32</v>
      </c>
      <c r="AB24" s="110" t="s">
        <v>32</v>
      </c>
      <c r="AC24" s="110" t="s">
        <v>297</v>
      </c>
      <c r="AD24" s="110" t="s">
        <v>32</v>
      </c>
      <c r="AE24" s="110" t="s">
        <v>32</v>
      </c>
      <c r="AF24" s="110" t="s">
        <v>32</v>
      </c>
      <c r="AG24" s="110" t="s">
        <v>32</v>
      </c>
      <c r="AH24" s="6" t="s">
        <v>32</v>
      </c>
      <c r="AI24" s="6" t="s">
        <v>296</v>
      </c>
      <c r="AJ24" s="5">
        <v>0</v>
      </c>
      <c r="AK24" s="5"/>
      <c r="AL24" s="19"/>
      <c r="AM24" s="193"/>
      <c r="AO24" s="26"/>
      <c r="AP24" s="20"/>
      <c r="AQ24" s="20"/>
      <c r="AR24" s="20"/>
      <c r="AT24" s="184"/>
      <c r="AU24" s="185"/>
      <c r="AV24" s="185"/>
      <c r="AW24" s="185"/>
      <c r="AX24" s="185"/>
      <c r="AY24" s="186"/>
      <c r="AZ24" s="93">
        <v>3</v>
      </c>
      <c r="BA24" s="173">
        <v>400</v>
      </c>
      <c r="BB24" s="174"/>
      <c r="BC24" s="169"/>
      <c r="BD24" s="170"/>
      <c r="BE24" s="171"/>
      <c r="BF24" s="172"/>
      <c r="BM24" s="16" t="s">
        <v>162</v>
      </c>
    </row>
    <row r="25" spans="1:65" ht="15" customHeight="1">
      <c r="A25" s="18"/>
      <c r="B25" s="207"/>
      <c r="C25" s="207"/>
      <c r="F25" s="5">
        <v>-1</v>
      </c>
      <c r="G25" s="6" t="s">
        <v>296</v>
      </c>
      <c r="H25" s="110" t="s">
        <v>32</v>
      </c>
      <c r="I25" s="110" t="s">
        <v>297</v>
      </c>
      <c r="J25" s="110" t="s">
        <v>32</v>
      </c>
      <c r="K25" s="110" t="s">
        <v>32</v>
      </c>
      <c r="L25" s="110" t="s">
        <v>32</v>
      </c>
      <c r="M25" s="110" t="s">
        <v>32</v>
      </c>
      <c r="N25" s="110" t="s">
        <v>32</v>
      </c>
      <c r="O25" s="110" t="s">
        <v>32</v>
      </c>
      <c r="P25" s="110" t="s">
        <v>32</v>
      </c>
      <c r="Q25" s="110" t="s">
        <v>32</v>
      </c>
      <c r="R25" s="110" t="s">
        <v>297</v>
      </c>
      <c r="S25" s="110" t="s">
        <v>32</v>
      </c>
      <c r="T25" s="110" t="s">
        <v>32</v>
      </c>
      <c r="U25" s="110" t="s">
        <v>297</v>
      </c>
      <c r="V25" s="110" t="s">
        <v>32</v>
      </c>
      <c r="W25" s="110" t="s">
        <v>32</v>
      </c>
      <c r="X25" s="110" t="s">
        <v>32</v>
      </c>
      <c r="Y25" s="110" t="s">
        <v>297</v>
      </c>
      <c r="Z25" s="110" t="s">
        <v>32</v>
      </c>
      <c r="AA25" s="110" t="s">
        <v>32</v>
      </c>
      <c r="AB25" s="110" t="s">
        <v>32</v>
      </c>
      <c r="AC25" s="110" t="s">
        <v>297</v>
      </c>
      <c r="AD25" s="110" t="s">
        <v>32</v>
      </c>
      <c r="AE25" s="110" t="s">
        <v>32</v>
      </c>
      <c r="AF25" s="110" t="s">
        <v>32</v>
      </c>
      <c r="AG25" s="110" t="s">
        <v>297</v>
      </c>
      <c r="AH25" s="6" t="s">
        <v>32</v>
      </c>
      <c r="AI25" s="6" t="s">
        <v>296</v>
      </c>
      <c r="AJ25" s="5">
        <v>-1</v>
      </c>
      <c r="AK25" s="5"/>
      <c r="AL25" s="19"/>
      <c r="AM25" s="193"/>
      <c r="AO25" s="20"/>
      <c r="AP25" s="20"/>
      <c r="AQ25" s="20"/>
      <c r="AR25" s="20"/>
      <c r="AT25" s="184"/>
      <c r="AU25" s="185"/>
      <c r="AV25" s="185"/>
      <c r="AW25" s="185"/>
      <c r="AX25" s="185"/>
      <c r="AY25" s="186"/>
      <c r="AZ25" s="93">
        <v>4</v>
      </c>
      <c r="BA25" s="173">
        <v>400</v>
      </c>
      <c r="BB25" s="174"/>
      <c r="BC25" s="169"/>
      <c r="BD25" s="170"/>
      <c r="BE25" s="171"/>
      <c r="BF25" s="172"/>
      <c r="BM25" s="16" t="s">
        <v>163</v>
      </c>
    </row>
    <row r="26" spans="1:65" ht="15" customHeight="1">
      <c r="A26" s="18"/>
      <c r="B26" s="207"/>
      <c r="C26" s="207"/>
      <c r="F26" s="5">
        <v>-2</v>
      </c>
      <c r="G26" s="6" t="s">
        <v>296</v>
      </c>
      <c r="H26" s="110" t="s">
        <v>32</v>
      </c>
      <c r="I26" s="110" t="s">
        <v>32</v>
      </c>
      <c r="J26" s="110" t="s">
        <v>297</v>
      </c>
      <c r="K26" s="110" t="s">
        <v>32</v>
      </c>
      <c r="L26" s="110" t="s">
        <v>32</v>
      </c>
      <c r="M26" s="110" t="s">
        <v>32</v>
      </c>
      <c r="N26" s="110" t="s">
        <v>32</v>
      </c>
      <c r="O26" s="110" t="s">
        <v>32</v>
      </c>
      <c r="P26" s="110" t="s">
        <v>32</v>
      </c>
      <c r="Q26" s="110" t="s">
        <v>297</v>
      </c>
      <c r="R26" s="110" t="s">
        <v>297</v>
      </c>
      <c r="S26" s="110" t="s">
        <v>32</v>
      </c>
      <c r="T26" s="110" t="s">
        <v>32</v>
      </c>
      <c r="U26" s="110" t="s">
        <v>297</v>
      </c>
      <c r="V26" s="110" t="s">
        <v>32</v>
      </c>
      <c r="W26" s="110" t="s">
        <v>32</v>
      </c>
      <c r="X26" s="110" t="s">
        <v>297</v>
      </c>
      <c r="Y26" s="110" t="s">
        <v>297</v>
      </c>
      <c r="Z26" s="110" t="s">
        <v>297</v>
      </c>
      <c r="AA26" s="110" t="s">
        <v>297</v>
      </c>
      <c r="AB26" s="110" t="s">
        <v>297</v>
      </c>
      <c r="AC26" s="110" t="s">
        <v>32</v>
      </c>
      <c r="AD26" s="110" t="s">
        <v>32</v>
      </c>
      <c r="AE26" s="110" t="s">
        <v>32</v>
      </c>
      <c r="AF26" s="110" t="s">
        <v>297</v>
      </c>
      <c r="AG26" s="110" t="s">
        <v>297</v>
      </c>
      <c r="AH26" s="6" t="s">
        <v>32</v>
      </c>
      <c r="AI26" s="6" t="s">
        <v>296</v>
      </c>
      <c r="AJ26" s="5">
        <v>-2</v>
      </c>
      <c r="AK26" s="5"/>
      <c r="AL26" s="19"/>
      <c r="AM26" s="193"/>
      <c r="AO26" s="27"/>
      <c r="AP26" s="27"/>
      <c r="AQ26" s="27"/>
      <c r="AR26" s="27"/>
      <c r="AT26" s="184"/>
      <c r="AU26" s="185"/>
      <c r="AV26" s="185"/>
      <c r="AW26" s="185"/>
      <c r="AX26" s="185"/>
      <c r="AY26" s="186"/>
      <c r="AZ26" s="93">
        <v>5</v>
      </c>
      <c r="BA26" s="173">
        <v>400</v>
      </c>
      <c r="BB26" s="174"/>
      <c r="BC26" s="169"/>
      <c r="BD26" s="170"/>
      <c r="BE26" s="171"/>
      <c r="BF26" s="172"/>
      <c r="BM26" s="16" t="s">
        <v>164</v>
      </c>
    </row>
    <row r="27" spans="1:65" ht="15" customHeight="1">
      <c r="A27" s="18"/>
      <c r="B27" s="207"/>
      <c r="C27" s="207"/>
      <c r="F27" s="5">
        <v>-3</v>
      </c>
      <c r="G27" s="6" t="s">
        <v>296</v>
      </c>
      <c r="H27" s="110" t="s">
        <v>32</v>
      </c>
      <c r="I27" s="110" t="s">
        <v>32</v>
      </c>
      <c r="J27" s="110" t="s">
        <v>297</v>
      </c>
      <c r="K27" s="110" t="s">
        <v>297</v>
      </c>
      <c r="L27" s="110" t="s">
        <v>32</v>
      </c>
      <c r="M27" s="110" t="s">
        <v>32</v>
      </c>
      <c r="N27" s="110" t="s">
        <v>32</v>
      </c>
      <c r="O27" s="110" t="s">
        <v>32</v>
      </c>
      <c r="P27" s="110" t="s">
        <v>32</v>
      </c>
      <c r="Q27" s="110" t="s">
        <v>32</v>
      </c>
      <c r="R27" s="110" t="s">
        <v>297</v>
      </c>
      <c r="S27" s="110" t="s">
        <v>297</v>
      </c>
      <c r="T27" s="110" t="s">
        <v>297</v>
      </c>
      <c r="U27" s="110" t="s">
        <v>297</v>
      </c>
      <c r="V27" s="110" t="s">
        <v>32</v>
      </c>
      <c r="W27" s="110" t="s">
        <v>32</v>
      </c>
      <c r="X27" s="110" t="s">
        <v>297</v>
      </c>
      <c r="Y27" s="110" t="s">
        <v>297</v>
      </c>
      <c r="Z27" s="110" t="s">
        <v>32</v>
      </c>
      <c r="AA27" s="110" t="s">
        <v>32</v>
      </c>
      <c r="AB27" s="110" t="s">
        <v>32</v>
      </c>
      <c r="AC27" s="110" t="s">
        <v>32</v>
      </c>
      <c r="AD27" s="110" t="s">
        <v>297</v>
      </c>
      <c r="AE27" s="110" t="s">
        <v>297</v>
      </c>
      <c r="AF27" s="110" t="s">
        <v>32</v>
      </c>
      <c r="AG27" s="110" t="s">
        <v>32</v>
      </c>
      <c r="AH27" s="6" t="s">
        <v>32</v>
      </c>
      <c r="AI27" s="6" t="s">
        <v>296</v>
      </c>
      <c r="AJ27" s="5">
        <v>-3</v>
      </c>
      <c r="AK27" s="5"/>
      <c r="AL27" s="19"/>
      <c r="AM27" s="193"/>
      <c r="AO27" s="27"/>
      <c r="AP27" s="27"/>
      <c r="AQ27" s="27"/>
      <c r="AR27" s="27"/>
      <c r="AT27" s="184"/>
      <c r="AU27" s="185"/>
      <c r="AV27" s="185"/>
      <c r="AW27" s="185"/>
      <c r="AX27" s="185"/>
      <c r="AY27" s="186"/>
      <c r="AZ27" s="93">
        <v>6</v>
      </c>
      <c r="BA27" s="173">
        <v>400</v>
      </c>
      <c r="BB27" s="174"/>
      <c r="BC27" s="169"/>
      <c r="BD27" s="170"/>
      <c r="BE27" s="171"/>
      <c r="BF27" s="172"/>
      <c r="BM27" s="16" t="s">
        <v>165</v>
      </c>
    </row>
    <row r="28" spans="1:65" ht="15" customHeight="1">
      <c r="A28" s="18"/>
      <c r="B28" s="207"/>
      <c r="C28" s="207"/>
      <c r="F28" s="5">
        <v>-4</v>
      </c>
      <c r="G28" s="6" t="s">
        <v>296</v>
      </c>
      <c r="H28" s="110" t="s">
        <v>32</v>
      </c>
      <c r="I28" s="110" t="s">
        <v>32</v>
      </c>
      <c r="J28" s="110" t="s">
        <v>32</v>
      </c>
      <c r="K28" s="110" t="s">
        <v>32</v>
      </c>
      <c r="L28" s="110" t="s">
        <v>297</v>
      </c>
      <c r="M28" s="110" t="s">
        <v>297</v>
      </c>
      <c r="N28" s="110" t="s">
        <v>32</v>
      </c>
      <c r="O28" s="110" t="s">
        <v>32</v>
      </c>
      <c r="P28" s="110" t="s">
        <v>32</v>
      </c>
      <c r="Q28" s="110" t="s">
        <v>32</v>
      </c>
      <c r="R28" s="110" t="s">
        <v>32</v>
      </c>
      <c r="S28" s="110" t="s">
        <v>32</v>
      </c>
      <c r="T28" s="110" t="s">
        <v>32</v>
      </c>
      <c r="U28" s="110" t="s">
        <v>32</v>
      </c>
      <c r="V28" s="110" t="s">
        <v>32</v>
      </c>
      <c r="W28" s="110" t="s">
        <v>32</v>
      </c>
      <c r="X28" s="110" t="s">
        <v>32</v>
      </c>
      <c r="Y28" s="110" t="s">
        <v>32</v>
      </c>
      <c r="Z28" s="110" t="s">
        <v>32</v>
      </c>
      <c r="AA28" s="110" t="s">
        <v>32</v>
      </c>
      <c r="AB28" s="110" t="s">
        <v>297</v>
      </c>
      <c r="AC28" s="110" t="s">
        <v>32</v>
      </c>
      <c r="AD28" s="110" t="s">
        <v>32</v>
      </c>
      <c r="AE28" s="110" t="s">
        <v>32</v>
      </c>
      <c r="AF28" s="110" t="s">
        <v>32</v>
      </c>
      <c r="AG28" s="110" t="s">
        <v>32</v>
      </c>
      <c r="AH28" s="6" t="s">
        <v>32</v>
      </c>
      <c r="AI28" s="6" t="s">
        <v>296</v>
      </c>
      <c r="AJ28" s="5">
        <v>-4</v>
      </c>
      <c r="AK28" s="5"/>
      <c r="AL28" s="19"/>
      <c r="AM28" s="193"/>
      <c r="AO28" s="27"/>
      <c r="AP28" s="27"/>
      <c r="AQ28" s="27"/>
      <c r="AR28" s="27"/>
      <c r="AT28" s="184"/>
      <c r="AU28" s="185"/>
      <c r="AV28" s="185"/>
      <c r="AW28" s="185"/>
      <c r="AX28" s="185"/>
      <c r="AY28" s="186"/>
      <c r="AZ28" s="93">
        <v>7</v>
      </c>
      <c r="BA28" s="173">
        <v>400</v>
      </c>
      <c r="BB28" s="174"/>
      <c r="BC28" s="169"/>
      <c r="BD28" s="170"/>
      <c r="BE28" s="171"/>
      <c r="BF28" s="172"/>
      <c r="BM28" s="16" t="s">
        <v>166</v>
      </c>
    </row>
    <row r="29" spans="1:65" ht="15" customHeight="1">
      <c r="A29" s="18"/>
      <c r="B29" s="207"/>
      <c r="C29" s="207"/>
      <c r="F29" s="5">
        <v>-5</v>
      </c>
      <c r="G29" s="6" t="s">
        <v>296</v>
      </c>
      <c r="H29" s="6" t="s">
        <v>296</v>
      </c>
      <c r="I29" s="110" t="s">
        <v>32</v>
      </c>
      <c r="J29" s="110" t="s">
        <v>32</v>
      </c>
      <c r="K29" s="110" t="s">
        <v>32</v>
      </c>
      <c r="L29" s="110" t="s">
        <v>32</v>
      </c>
      <c r="M29" s="110" t="s">
        <v>32</v>
      </c>
      <c r="N29" s="110" t="s">
        <v>297</v>
      </c>
      <c r="O29" s="110" t="s">
        <v>297</v>
      </c>
      <c r="P29" s="110" t="s">
        <v>32</v>
      </c>
      <c r="Q29" s="110" t="s">
        <v>297</v>
      </c>
      <c r="R29" s="110" t="s">
        <v>32</v>
      </c>
      <c r="S29" s="110" t="s">
        <v>297</v>
      </c>
      <c r="T29" s="110" t="s">
        <v>32</v>
      </c>
      <c r="U29" s="110" t="s">
        <v>297</v>
      </c>
      <c r="V29" s="110" t="s">
        <v>32</v>
      </c>
      <c r="W29" s="110" t="s">
        <v>297</v>
      </c>
      <c r="X29" s="110" t="s">
        <v>32</v>
      </c>
      <c r="Y29" s="110" t="s">
        <v>297</v>
      </c>
      <c r="Z29" s="110" t="s">
        <v>32</v>
      </c>
      <c r="AA29" s="110" t="s">
        <v>297</v>
      </c>
      <c r="AB29" s="110" t="s">
        <v>32</v>
      </c>
      <c r="AC29" s="110" t="s">
        <v>32</v>
      </c>
      <c r="AD29" s="110" t="s">
        <v>32</v>
      </c>
      <c r="AE29" s="110" t="s">
        <v>32</v>
      </c>
      <c r="AF29" s="110" t="s">
        <v>32</v>
      </c>
      <c r="AG29" s="110" t="s">
        <v>32</v>
      </c>
      <c r="AH29" s="6" t="s">
        <v>296</v>
      </c>
      <c r="AI29" s="6" t="s">
        <v>296</v>
      </c>
      <c r="AJ29" s="5">
        <v>-5</v>
      </c>
      <c r="AK29" s="5"/>
      <c r="AL29" s="19"/>
      <c r="AM29" s="19"/>
      <c r="AO29" s="27"/>
      <c r="AP29" s="27"/>
      <c r="AQ29" s="27"/>
      <c r="AR29" s="27"/>
      <c r="AT29" s="187"/>
      <c r="AU29" s="188"/>
      <c r="AV29" s="188"/>
      <c r="AW29" s="188"/>
      <c r="AX29" s="188"/>
      <c r="AY29" s="189"/>
      <c r="AZ29" s="93">
        <v>8</v>
      </c>
      <c r="BA29" s="173">
        <v>400</v>
      </c>
      <c r="BB29" s="174"/>
      <c r="BC29" s="169"/>
      <c r="BD29" s="170"/>
      <c r="BE29" s="171"/>
      <c r="BF29" s="172"/>
      <c r="BM29" s="16" t="s">
        <v>167</v>
      </c>
    </row>
    <row r="30" spans="1:65" ht="15" customHeight="1">
      <c r="A30" s="18"/>
      <c r="B30" s="207"/>
      <c r="C30" s="207"/>
      <c r="F30" s="5">
        <v>-6</v>
      </c>
      <c r="G30" s="6" t="s">
        <v>296</v>
      </c>
      <c r="H30" s="6" t="s">
        <v>296</v>
      </c>
      <c r="I30" s="6" t="s">
        <v>296</v>
      </c>
      <c r="J30" s="111" t="s">
        <v>121</v>
      </c>
      <c r="K30" s="110" t="s">
        <v>32</v>
      </c>
      <c r="L30" s="110" t="s">
        <v>32</v>
      </c>
      <c r="M30" s="110" t="s">
        <v>32</v>
      </c>
      <c r="N30" s="110" t="s">
        <v>297</v>
      </c>
      <c r="O30" s="110" t="s">
        <v>32</v>
      </c>
      <c r="P30" s="110" t="s">
        <v>32</v>
      </c>
      <c r="Q30" s="110" t="s">
        <v>32</v>
      </c>
      <c r="R30" s="110" t="s">
        <v>297</v>
      </c>
      <c r="S30" s="110" t="s">
        <v>32</v>
      </c>
      <c r="T30" s="110" t="s">
        <v>32</v>
      </c>
      <c r="U30" s="110" t="s">
        <v>32</v>
      </c>
      <c r="V30" s="110" t="s">
        <v>297</v>
      </c>
      <c r="W30" s="110" t="s">
        <v>32</v>
      </c>
      <c r="X30" s="110" t="s">
        <v>297</v>
      </c>
      <c r="Y30" s="110" t="s">
        <v>32</v>
      </c>
      <c r="Z30" s="110" t="s">
        <v>32</v>
      </c>
      <c r="AA30" s="110" t="s">
        <v>32</v>
      </c>
      <c r="AB30" s="110" t="s">
        <v>297</v>
      </c>
      <c r="AC30" s="110" t="s">
        <v>32</v>
      </c>
      <c r="AD30" s="110" t="s">
        <v>32</v>
      </c>
      <c r="AE30" s="110" t="s">
        <v>32</v>
      </c>
      <c r="AF30" s="111" t="s">
        <v>121</v>
      </c>
      <c r="AG30" s="6" t="s">
        <v>296</v>
      </c>
      <c r="AH30" s="6" t="s">
        <v>296</v>
      </c>
      <c r="AI30" s="6" t="s">
        <v>296</v>
      </c>
      <c r="AJ30" s="5">
        <v>-6</v>
      </c>
      <c r="AK30" s="5"/>
      <c r="AL30" s="19"/>
      <c r="AM30" s="19"/>
      <c r="AO30" s="27"/>
      <c r="AP30" s="27"/>
      <c r="AQ30" s="27"/>
      <c r="AR30" s="27"/>
      <c r="AT30" s="167" t="s">
        <v>51</v>
      </c>
      <c r="AU30" s="165"/>
      <c r="AV30" s="165"/>
      <c r="AW30" s="165"/>
      <c r="AX30" s="165"/>
      <c r="AY30" s="165"/>
      <c r="AZ30" s="168"/>
      <c r="BA30" s="179">
        <v>87</v>
      </c>
      <c r="BB30" s="177"/>
      <c r="BC30" s="177"/>
      <c r="BD30" s="177"/>
      <c r="BE30" s="177"/>
      <c r="BF30" s="178"/>
      <c r="BM30" s="16" t="s">
        <v>168</v>
      </c>
    </row>
    <row r="31" spans="1:65" ht="15" customHeight="1">
      <c r="A31" s="18"/>
      <c r="B31" s="207"/>
      <c r="C31" s="207"/>
      <c r="F31" s="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5"/>
      <c r="AK31" s="5"/>
      <c r="AL31" s="19"/>
      <c r="AM31" s="19"/>
      <c r="AO31" s="27"/>
      <c r="AP31" s="27"/>
      <c r="AQ31" s="27"/>
      <c r="AR31" s="27"/>
      <c r="AT31" s="221" t="s">
        <v>279</v>
      </c>
      <c r="AU31" s="222"/>
      <c r="AV31" s="222"/>
      <c r="AW31" s="222"/>
      <c r="AX31" s="222"/>
      <c r="AY31" s="222"/>
      <c r="AZ31" s="223"/>
      <c r="BA31" s="227">
        <v>200</v>
      </c>
      <c r="BB31" s="227"/>
      <c r="BC31" s="227"/>
      <c r="BD31" s="227"/>
      <c r="BE31" s="227"/>
      <c r="BF31" s="228"/>
      <c r="BM31" s="16" t="s">
        <v>169</v>
      </c>
    </row>
    <row r="32" spans="1:65" ht="18.75" customHeight="1">
      <c r="A32" s="18"/>
      <c r="F32" s="7"/>
      <c r="G32" s="8">
        <v>-14</v>
      </c>
      <c r="H32" s="8">
        <v>-13</v>
      </c>
      <c r="I32" s="8">
        <v>-12</v>
      </c>
      <c r="J32" s="8">
        <v>-11</v>
      </c>
      <c r="K32" s="8">
        <v>-10</v>
      </c>
      <c r="L32" s="8">
        <v>-9</v>
      </c>
      <c r="M32" s="8">
        <v>-8</v>
      </c>
      <c r="N32" s="8">
        <v>-7</v>
      </c>
      <c r="O32" s="8">
        <v>-6</v>
      </c>
      <c r="P32" s="8">
        <v>-5</v>
      </c>
      <c r="Q32" s="8">
        <v>-4</v>
      </c>
      <c r="R32" s="8">
        <v>-3</v>
      </c>
      <c r="S32" s="9">
        <v>-2</v>
      </c>
      <c r="T32" s="9">
        <v>-1</v>
      </c>
      <c r="U32" s="9">
        <v>0</v>
      </c>
      <c r="V32" s="9">
        <v>1</v>
      </c>
      <c r="W32" s="9">
        <v>2</v>
      </c>
      <c r="X32" s="9">
        <v>3</v>
      </c>
      <c r="Y32" s="9">
        <v>4</v>
      </c>
      <c r="Z32" s="9">
        <v>5</v>
      </c>
      <c r="AA32" s="9">
        <v>6</v>
      </c>
      <c r="AB32" s="9">
        <v>7</v>
      </c>
      <c r="AC32" s="9">
        <v>8</v>
      </c>
      <c r="AD32" s="9">
        <v>9</v>
      </c>
      <c r="AE32" s="9">
        <v>10</v>
      </c>
      <c r="AF32" s="9">
        <v>11</v>
      </c>
      <c r="AG32" s="9">
        <v>12</v>
      </c>
      <c r="AH32" s="9">
        <v>13</v>
      </c>
      <c r="AI32" s="9">
        <v>14</v>
      </c>
      <c r="AJ32" s="10"/>
      <c r="AK32" s="28"/>
      <c r="AL32" s="28"/>
      <c r="AM32" s="28"/>
      <c r="AN32" s="29"/>
      <c r="AO32" s="30"/>
      <c r="AP32" s="30"/>
      <c r="AQ32" s="30"/>
      <c r="AR32" s="30"/>
      <c r="AS32" s="30"/>
      <c r="AT32" s="224"/>
      <c r="AU32" s="225"/>
      <c r="AV32" s="225"/>
      <c r="AW32" s="225"/>
      <c r="AX32" s="225"/>
      <c r="AY32" s="225"/>
      <c r="AZ32" s="226"/>
      <c r="BA32" s="229"/>
      <c r="BB32" s="229"/>
      <c r="BC32" s="229"/>
      <c r="BD32" s="229"/>
      <c r="BE32" s="229"/>
      <c r="BF32" s="230"/>
      <c r="BM32" s="16" t="s">
        <v>170</v>
      </c>
    </row>
    <row r="33" spans="1:65" ht="18.75" customHeight="1">
      <c r="A33" s="31"/>
      <c r="B33" s="32"/>
      <c r="C33" s="32"/>
      <c r="D33" s="32"/>
      <c r="E33" s="32"/>
      <c r="F33" s="33"/>
      <c r="G33" s="74"/>
      <c r="H33" s="34">
        <v>-13</v>
      </c>
      <c r="I33" s="34">
        <v>-12</v>
      </c>
      <c r="J33" s="34">
        <v>-11</v>
      </c>
      <c r="K33" s="34">
        <v>-10</v>
      </c>
      <c r="L33" s="35">
        <v>-9</v>
      </c>
      <c r="M33" s="35">
        <v>-8</v>
      </c>
      <c r="N33" s="35">
        <v>-7</v>
      </c>
      <c r="O33" s="35">
        <v>-6</v>
      </c>
      <c r="P33" s="35">
        <v>-5</v>
      </c>
      <c r="Q33" s="35">
        <v>-4</v>
      </c>
      <c r="R33" s="35">
        <v>-3</v>
      </c>
      <c r="S33" s="35">
        <v>-2</v>
      </c>
      <c r="T33" s="35">
        <v>-1</v>
      </c>
      <c r="U33" s="35">
        <v>0</v>
      </c>
      <c r="V33" s="35">
        <v>1</v>
      </c>
      <c r="W33" s="35">
        <v>2</v>
      </c>
      <c r="X33" s="35">
        <v>3</v>
      </c>
      <c r="Y33" s="35">
        <v>4</v>
      </c>
      <c r="Z33" s="35">
        <v>5</v>
      </c>
      <c r="AA33" s="35">
        <v>6</v>
      </c>
      <c r="AB33" s="35">
        <v>7</v>
      </c>
      <c r="AC33" s="35">
        <v>8</v>
      </c>
      <c r="AD33" s="35">
        <v>9</v>
      </c>
      <c r="AE33" s="35">
        <v>10</v>
      </c>
      <c r="AF33" s="35">
        <v>11</v>
      </c>
      <c r="AG33" s="35">
        <v>12</v>
      </c>
      <c r="AH33" s="35">
        <v>13</v>
      </c>
      <c r="AI33" s="35"/>
      <c r="AJ33" s="35"/>
      <c r="AK33" s="19"/>
      <c r="AL33" s="19"/>
      <c r="AM33" s="19"/>
      <c r="AT33" s="20"/>
      <c r="AU33" s="20"/>
      <c r="AV33" s="20" t="s">
        <v>21</v>
      </c>
      <c r="AW33" s="20"/>
      <c r="AX33" s="20"/>
      <c r="AY33" s="20"/>
      <c r="AZ33" s="109"/>
      <c r="BA33" s="36" t="s">
        <v>19</v>
      </c>
      <c r="BB33" s="37" t="s">
        <v>22</v>
      </c>
      <c r="BC33" s="37"/>
      <c r="BD33" s="37"/>
      <c r="BE33" s="32"/>
      <c r="BF33" s="38"/>
      <c r="BM33" s="16" t="s">
        <v>96</v>
      </c>
    </row>
    <row r="34" spans="1:65" ht="15" customHeight="1">
      <c r="A34" s="18"/>
      <c r="F34" s="19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75"/>
      <c r="AK34" s="19"/>
      <c r="AL34" s="19"/>
      <c r="AM34" s="19"/>
      <c r="AT34" s="20"/>
      <c r="AU34" s="20"/>
      <c r="AV34" s="20"/>
      <c r="AW34" s="20"/>
      <c r="AX34" s="20"/>
      <c r="AY34" s="20"/>
      <c r="AZ34" s="71"/>
      <c r="BA34" s="103" t="s">
        <v>32</v>
      </c>
      <c r="BB34" s="20" t="s">
        <v>240</v>
      </c>
      <c r="BC34" s="20"/>
      <c r="BD34" s="20"/>
      <c r="BF34" s="25"/>
      <c r="BM34" s="1" t="s">
        <v>171</v>
      </c>
    </row>
    <row r="35" spans="1:65" ht="15" customHeight="1">
      <c r="A35" s="18"/>
      <c r="F35" s="5">
        <v>6</v>
      </c>
      <c r="G35" s="39"/>
      <c r="H35" s="39" t="s">
        <v>32</v>
      </c>
      <c r="I35" s="39" t="s">
        <v>32</v>
      </c>
      <c r="J35" s="39" t="s">
        <v>32</v>
      </c>
      <c r="K35" s="39" t="s">
        <v>32</v>
      </c>
      <c r="L35" s="39" t="s">
        <v>32</v>
      </c>
      <c r="M35" s="39" t="s">
        <v>32</v>
      </c>
      <c r="N35" s="39" t="s">
        <v>32</v>
      </c>
      <c r="O35" s="39" t="s">
        <v>32</v>
      </c>
      <c r="P35" s="39" t="s">
        <v>32</v>
      </c>
      <c r="Q35" s="39" t="s">
        <v>32</v>
      </c>
      <c r="R35" s="39" t="s">
        <v>32</v>
      </c>
      <c r="S35" s="39" t="s">
        <v>32</v>
      </c>
      <c r="T35" s="39" t="s">
        <v>32</v>
      </c>
      <c r="U35" s="39" t="s">
        <v>32</v>
      </c>
      <c r="V35" s="39" t="s">
        <v>32</v>
      </c>
      <c r="W35" s="39" t="s">
        <v>32</v>
      </c>
      <c r="X35" s="39" t="s">
        <v>32</v>
      </c>
      <c r="Y35" s="39" t="s">
        <v>32</v>
      </c>
      <c r="Z35" s="39" t="s">
        <v>32</v>
      </c>
      <c r="AA35" s="39" t="s">
        <v>32</v>
      </c>
      <c r="AB35" s="39" t="s">
        <v>32</v>
      </c>
      <c r="AC35" s="39" t="s">
        <v>32</v>
      </c>
      <c r="AD35" s="39" t="s">
        <v>32</v>
      </c>
      <c r="AE35" s="39" t="s">
        <v>32</v>
      </c>
      <c r="AF35" s="39" t="s">
        <v>32</v>
      </c>
      <c r="AG35" s="39" t="s">
        <v>32</v>
      </c>
      <c r="AH35" s="39" t="s">
        <v>32</v>
      </c>
      <c r="AI35" s="39"/>
      <c r="AJ35" s="75">
        <v>6</v>
      </c>
      <c r="AK35" s="19"/>
      <c r="AL35" s="19"/>
      <c r="AM35" s="19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F35" s="25"/>
      <c r="BM35" s="16" t="s">
        <v>172</v>
      </c>
    </row>
    <row r="36" spans="1:65" ht="15" customHeight="1">
      <c r="A36" s="18"/>
      <c r="B36" s="194" t="s">
        <v>23</v>
      </c>
      <c r="C36" s="194"/>
      <c r="F36" s="5">
        <v>5</v>
      </c>
      <c r="G36" s="39"/>
      <c r="H36" s="39" t="s">
        <v>32</v>
      </c>
      <c r="I36" s="39" t="s">
        <v>32</v>
      </c>
      <c r="J36" s="39" t="s">
        <v>32</v>
      </c>
      <c r="K36" s="39" t="s">
        <v>32</v>
      </c>
      <c r="L36" s="39" t="s">
        <v>32</v>
      </c>
      <c r="M36" s="39" t="s">
        <v>32</v>
      </c>
      <c r="N36" s="39" t="s">
        <v>32</v>
      </c>
      <c r="O36" s="39" t="s">
        <v>32</v>
      </c>
      <c r="P36" s="39" t="s">
        <v>32</v>
      </c>
      <c r="Q36" s="39" t="s">
        <v>32</v>
      </c>
      <c r="R36" s="39" t="s">
        <v>32</v>
      </c>
      <c r="S36" s="39" t="s">
        <v>32</v>
      </c>
      <c r="T36" s="39" t="s">
        <v>32</v>
      </c>
      <c r="U36" s="39" t="s">
        <v>32</v>
      </c>
      <c r="V36" s="39" t="s">
        <v>32</v>
      </c>
      <c r="W36" s="39" t="s">
        <v>32</v>
      </c>
      <c r="X36" s="39" t="s">
        <v>32</v>
      </c>
      <c r="Y36" s="39" t="s">
        <v>32</v>
      </c>
      <c r="Z36" s="39" t="s">
        <v>32</v>
      </c>
      <c r="AA36" s="39" t="s">
        <v>32</v>
      </c>
      <c r="AB36" s="39" t="s">
        <v>32</v>
      </c>
      <c r="AC36" s="39" t="s">
        <v>32</v>
      </c>
      <c r="AD36" s="39" t="s">
        <v>32</v>
      </c>
      <c r="AE36" s="39" t="s">
        <v>32</v>
      </c>
      <c r="AF36" s="39" t="s">
        <v>32</v>
      </c>
      <c r="AG36" s="39" t="s">
        <v>32</v>
      </c>
      <c r="AH36" s="39" t="s">
        <v>32</v>
      </c>
      <c r="AI36" s="39"/>
      <c r="AJ36" s="75">
        <v>5</v>
      </c>
      <c r="AK36" s="19"/>
      <c r="AL36" s="19"/>
      <c r="AM36" s="19"/>
      <c r="BF36" s="25"/>
      <c r="BM36" s="16" t="s">
        <v>173</v>
      </c>
    </row>
    <row r="37" spans="1:65" ht="15" customHeight="1">
      <c r="A37" s="18"/>
      <c r="B37" s="194"/>
      <c r="C37" s="194"/>
      <c r="F37" s="5">
        <v>4</v>
      </c>
      <c r="G37" s="39"/>
      <c r="H37" s="39" t="s">
        <v>32</v>
      </c>
      <c r="I37" s="39" t="s">
        <v>32</v>
      </c>
      <c r="J37" s="39" t="s">
        <v>32</v>
      </c>
      <c r="K37" s="39" t="s">
        <v>32</v>
      </c>
      <c r="L37" s="39" t="s">
        <v>32</v>
      </c>
      <c r="M37" s="39" t="s">
        <v>32</v>
      </c>
      <c r="N37" s="39" t="s">
        <v>32</v>
      </c>
      <c r="O37" s="39" t="s">
        <v>32</v>
      </c>
      <c r="P37" s="39" t="s">
        <v>32</v>
      </c>
      <c r="Q37" s="39" t="s">
        <v>32</v>
      </c>
      <c r="R37" s="39" t="s">
        <v>32</v>
      </c>
      <c r="S37" s="39" t="s">
        <v>32</v>
      </c>
      <c r="T37" s="39" t="s">
        <v>32</v>
      </c>
      <c r="U37" s="39" t="s">
        <v>32</v>
      </c>
      <c r="V37" s="39" t="s">
        <v>32</v>
      </c>
      <c r="W37" s="39" t="s">
        <v>32</v>
      </c>
      <c r="X37" s="39" t="s">
        <v>32</v>
      </c>
      <c r="Y37" s="39" t="s">
        <v>32</v>
      </c>
      <c r="Z37" s="39" t="s">
        <v>32</v>
      </c>
      <c r="AA37" s="39" t="s">
        <v>32</v>
      </c>
      <c r="AB37" s="39" t="s">
        <v>32</v>
      </c>
      <c r="AC37" s="39" t="s">
        <v>32</v>
      </c>
      <c r="AD37" s="39" t="s">
        <v>32</v>
      </c>
      <c r="AE37" s="39" t="s">
        <v>32</v>
      </c>
      <c r="AF37" s="39" t="s">
        <v>32</v>
      </c>
      <c r="AG37" s="39" t="s">
        <v>32</v>
      </c>
      <c r="AH37" s="39" t="s">
        <v>32</v>
      </c>
      <c r="AI37" s="39"/>
      <c r="AJ37" s="75">
        <v>4</v>
      </c>
      <c r="AK37" s="19"/>
      <c r="AL37" s="19"/>
      <c r="AM37" s="19"/>
      <c r="BF37" s="25"/>
      <c r="BM37" s="16" t="s">
        <v>174</v>
      </c>
    </row>
    <row r="38" spans="1:65" ht="15" customHeight="1">
      <c r="A38" s="18"/>
      <c r="B38" s="194"/>
      <c r="C38" s="194"/>
      <c r="F38" s="5">
        <v>3</v>
      </c>
      <c r="G38" s="39"/>
      <c r="H38" s="39" t="s">
        <v>32</v>
      </c>
      <c r="I38" s="39" t="s">
        <v>32</v>
      </c>
      <c r="J38" s="39" t="s">
        <v>32</v>
      </c>
      <c r="K38" s="39" t="s">
        <v>32</v>
      </c>
      <c r="L38" s="39" t="s">
        <v>32</v>
      </c>
      <c r="M38" s="39" t="s">
        <v>32</v>
      </c>
      <c r="N38" s="39" t="s">
        <v>32</v>
      </c>
      <c r="O38" s="39" t="s">
        <v>32</v>
      </c>
      <c r="P38" s="39" t="s">
        <v>32</v>
      </c>
      <c r="Q38" s="39" t="s">
        <v>32</v>
      </c>
      <c r="R38" s="39" t="s">
        <v>32</v>
      </c>
      <c r="S38" s="39" t="s">
        <v>32</v>
      </c>
      <c r="T38" s="39" t="s">
        <v>32</v>
      </c>
      <c r="U38" s="39" t="s">
        <v>32</v>
      </c>
      <c r="V38" s="39" t="s">
        <v>32</v>
      </c>
      <c r="W38" s="39" t="s">
        <v>32</v>
      </c>
      <c r="X38" s="39" t="s">
        <v>32</v>
      </c>
      <c r="Y38" s="39" t="s">
        <v>32</v>
      </c>
      <c r="Z38" s="39" t="s">
        <v>32</v>
      </c>
      <c r="AA38" s="39" t="s">
        <v>32</v>
      </c>
      <c r="AB38" s="39" t="s">
        <v>32</v>
      </c>
      <c r="AC38" s="39" t="s">
        <v>32</v>
      </c>
      <c r="AD38" s="39" t="s">
        <v>32</v>
      </c>
      <c r="AE38" s="39" t="s">
        <v>32</v>
      </c>
      <c r="AF38" s="39" t="s">
        <v>32</v>
      </c>
      <c r="AG38" s="39" t="s">
        <v>32</v>
      </c>
      <c r="AH38" s="39" t="s">
        <v>32</v>
      </c>
      <c r="AI38" s="39"/>
      <c r="AJ38" s="75">
        <v>3</v>
      </c>
      <c r="AK38" s="19"/>
      <c r="AL38" s="19"/>
      <c r="AM38" s="19"/>
      <c r="BF38" s="25"/>
      <c r="BM38" s="16" t="s">
        <v>175</v>
      </c>
    </row>
    <row r="39" spans="1:65" ht="15" customHeight="1">
      <c r="A39" s="18"/>
      <c r="B39" s="194"/>
      <c r="C39" s="194"/>
      <c r="F39" s="5">
        <v>2</v>
      </c>
      <c r="G39" s="39"/>
      <c r="H39" s="39" t="s">
        <v>32</v>
      </c>
      <c r="I39" s="39" t="s">
        <v>32</v>
      </c>
      <c r="J39" s="39" t="s">
        <v>32</v>
      </c>
      <c r="K39" s="39" t="s">
        <v>32</v>
      </c>
      <c r="L39" s="39" t="s">
        <v>32</v>
      </c>
      <c r="M39" s="39" t="s">
        <v>32</v>
      </c>
      <c r="N39" s="39" t="s">
        <v>32</v>
      </c>
      <c r="O39" s="39" t="s">
        <v>32</v>
      </c>
      <c r="P39" s="39" t="s">
        <v>32</v>
      </c>
      <c r="Q39" s="39" t="s">
        <v>32</v>
      </c>
      <c r="R39" s="39" t="s">
        <v>32</v>
      </c>
      <c r="S39" s="39" t="s">
        <v>32</v>
      </c>
      <c r="T39" s="39" t="s">
        <v>32</v>
      </c>
      <c r="U39" s="39" t="s">
        <v>32</v>
      </c>
      <c r="V39" s="39" t="s">
        <v>32</v>
      </c>
      <c r="W39" s="39" t="s">
        <v>32</v>
      </c>
      <c r="X39" s="39" t="s">
        <v>32</v>
      </c>
      <c r="Y39" s="39" t="s">
        <v>32</v>
      </c>
      <c r="Z39" s="39" t="s">
        <v>32</v>
      </c>
      <c r="AA39" s="39" t="s">
        <v>32</v>
      </c>
      <c r="AB39" s="39" t="s">
        <v>32</v>
      </c>
      <c r="AC39" s="39" t="s">
        <v>32</v>
      </c>
      <c r="AD39" s="39" t="s">
        <v>32</v>
      </c>
      <c r="AE39" s="39" t="s">
        <v>32</v>
      </c>
      <c r="AF39" s="39" t="s">
        <v>32</v>
      </c>
      <c r="AG39" s="39" t="s">
        <v>32</v>
      </c>
      <c r="AH39" s="39" t="s">
        <v>32</v>
      </c>
      <c r="AI39" s="39"/>
      <c r="AJ39" s="75">
        <v>2</v>
      </c>
      <c r="AK39" s="19"/>
      <c r="AL39" s="19"/>
      <c r="AM39" s="19"/>
      <c r="BF39" s="25"/>
      <c r="BM39" s="16" t="s">
        <v>176</v>
      </c>
    </row>
    <row r="40" spans="1:65" ht="15" customHeight="1">
      <c r="A40" s="18"/>
      <c r="B40" s="194"/>
      <c r="C40" s="194"/>
      <c r="F40" s="5">
        <v>1</v>
      </c>
      <c r="G40" s="39"/>
      <c r="H40" s="39" t="s">
        <v>32</v>
      </c>
      <c r="I40" s="39" t="s">
        <v>32</v>
      </c>
      <c r="J40" s="39" t="s">
        <v>32</v>
      </c>
      <c r="K40" s="39" t="s">
        <v>32</v>
      </c>
      <c r="L40" s="39" t="s">
        <v>32</v>
      </c>
      <c r="M40" s="39" t="s">
        <v>32</v>
      </c>
      <c r="N40" s="39" t="s">
        <v>32</v>
      </c>
      <c r="O40" s="39" t="s">
        <v>32</v>
      </c>
      <c r="P40" s="39" t="s">
        <v>32</v>
      </c>
      <c r="Q40" s="39" t="s">
        <v>32</v>
      </c>
      <c r="R40" s="39" t="s">
        <v>32</v>
      </c>
      <c r="S40" s="39" t="s">
        <v>32</v>
      </c>
      <c r="T40" s="39" t="s">
        <v>32</v>
      </c>
      <c r="U40" s="39" t="s">
        <v>32</v>
      </c>
      <c r="V40" s="39" t="s">
        <v>32</v>
      </c>
      <c r="W40" s="39" t="s">
        <v>32</v>
      </c>
      <c r="X40" s="39" t="s">
        <v>32</v>
      </c>
      <c r="Y40" s="39" t="s">
        <v>32</v>
      </c>
      <c r="Z40" s="39" t="s">
        <v>32</v>
      </c>
      <c r="AA40" s="39" t="s">
        <v>32</v>
      </c>
      <c r="AB40" s="39" t="s">
        <v>32</v>
      </c>
      <c r="AC40" s="39" t="s">
        <v>32</v>
      </c>
      <c r="AD40" s="39" t="s">
        <v>32</v>
      </c>
      <c r="AE40" s="39" t="s">
        <v>32</v>
      </c>
      <c r="AF40" s="39" t="s">
        <v>32</v>
      </c>
      <c r="AG40" s="39" t="s">
        <v>32</v>
      </c>
      <c r="AH40" s="39" t="s">
        <v>32</v>
      </c>
      <c r="AI40" s="39"/>
      <c r="AJ40" s="75">
        <v>1</v>
      </c>
      <c r="AK40" s="19"/>
      <c r="AL40" s="19"/>
      <c r="AM40" s="19"/>
      <c r="BF40" s="25"/>
      <c r="BM40" s="16" t="s">
        <v>92</v>
      </c>
    </row>
    <row r="41" spans="1:65" ht="15" customHeight="1">
      <c r="A41" s="18"/>
      <c r="B41" s="194"/>
      <c r="C41" s="194"/>
      <c r="F41" s="5">
        <v>0</v>
      </c>
      <c r="G41" s="39"/>
      <c r="H41" s="39" t="s">
        <v>32</v>
      </c>
      <c r="I41" s="39" t="s">
        <v>32</v>
      </c>
      <c r="J41" s="39" t="s">
        <v>32</v>
      </c>
      <c r="K41" s="39" t="s">
        <v>32</v>
      </c>
      <c r="L41" s="39" t="s">
        <v>32</v>
      </c>
      <c r="M41" s="39" t="s">
        <v>32</v>
      </c>
      <c r="N41" s="39" t="s">
        <v>32</v>
      </c>
      <c r="O41" s="39" t="s">
        <v>32</v>
      </c>
      <c r="P41" s="39" t="s">
        <v>32</v>
      </c>
      <c r="Q41" s="39" t="s">
        <v>32</v>
      </c>
      <c r="R41" s="39" t="s">
        <v>32</v>
      </c>
      <c r="S41" s="39" t="s">
        <v>32</v>
      </c>
      <c r="T41" s="39" t="s">
        <v>32</v>
      </c>
      <c r="U41" s="39" t="s">
        <v>32</v>
      </c>
      <c r="V41" s="39" t="s">
        <v>32</v>
      </c>
      <c r="W41" s="39" t="s">
        <v>32</v>
      </c>
      <c r="X41" s="39" t="s">
        <v>32</v>
      </c>
      <c r="Y41" s="39" t="s">
        <v>32</v>
      </c>
      <c r="Z41" s="39" t="s">
        <v>32</v>
      </c>
      <c r="AA41" s="39" t="s">
        <v>32</v>
      </c>
      <c r="AB41" s="39" t="s">
        <v>32</v>
      </c>
      <c r="AC41" s="39" t="s">
        <v>32</v>
      </c>
      <c r="AD41" s="39" t="s">
        <v>32</v>
      </c>
      <c r="AE41" s="39" t="s">
        <v>32</v>
      </c>
      <c r="AF41" s="39" t="s">
        <v>32</v>
      </c>
      <c r="AG41" s="39" t="s">
        <v>32</v>
      </c>
      <c r="AH41" s="39" t="s">
        <v>32</v>
      </c>
      <c r="AI41" s="39"/>
      <c r="AJ41" s="75">
        <v>0</v>
      </c>
      <c r="AK41" s="19"/>
      <c r="AL41" s="19"/>
      <c r="AM41" s="19"/>
      <c r="BF41" s="25"/>
      <c r="BM41" s="16" t="s">
        <v>177</v>
      </c>
    </row>
    <row r="42" spans="1:65" ht="15" customHeight="1">
      <c r="A42" s="18"/>
      <c r="B42" s="194"/>
      <c r="C42" s="194"/>
      <c r="F42" s="5">
        <v>-1</v>
      </c>
      <c r="G42" s="39"/>
      <c r="H42" s="39" t="s">
        <v>32</v>
      </c>
      <c r="I42" s="39" t="s">
        <v>32</v>
      </c>
      <c r="J42" s="39" t="s">
        <v>32</v>
      </c>
      <c r="K42" s="39" t="s">
        <v>32</v>
      </c>
      <c r="L42" s="39" t="s">
        <v>32</v>
      </c>
      <c r="M42" s="39" t="s">
        <v>32</v>
      </c>
      <c r="N42" s="39" t="s">
        <v>32</v>
      </c>
      <c r="O42" s="39" t="s">
        <v>32</v>
      </c>
      <c r="P42" s="39" t="s">
        <v>32</v>
      </c>
      <c r="Q42" s="39" t="s">
        <v>32</v>
      </c>
      <c r="R42" s="39" t="s">
        <v>32</v>
      </c>
      <c r="S42" s="39" t="s">
        <v>32</v>
      </c>
      <c r="T42" s="39" t="s">
        <v>32</v>
      </c>
      <c r="U42" s="39" t="s">
        <v>32</v>
      </c>
      <c r="V42" s="39" t="s">
        <v>32</v>
      </c>
      <c r="W42" s="39" t="s">
        <v>32</v>
      </c>
      <c r="X42" s="39" t="s">
        <v>32</v>
      </c>
      <c r="Y42" s="39" t="s">
        <v>32</v>
      </c>
      <c r="Z42" s="39" t="s">
        <v>32</v>
      </c>
      <c r="AA42" s="39" t="s">
        <v>32</v>
      </c>
      <c r="AB42" s="39" t="s">
        <v>32</v>
      </c>
      <c r="AC42" s="39" t="s">
        <v>32</v>
      </c>
      <c r="AD42" s="39" t="s">
        <v>32</v>
      </c>
      <c r="AE42" s="39" t="s">
        <v>32</v>
      </c>
      <c r="AF42" s="39" t="s">
        <v>32</v>
      </c>
      <c r="AG42" s="39" t="s">
        <v>32</v>
      </c>
      <c r="AH42" s="39" t="s">
        <v>32</v>
      </c>
      <c r="AI42" s="39"/>
      <c r="AJ42" s="5">
        <v>-1</v>
      </c>
      <c r="AK42" s="19"/>
      <c r="AL42" s="19"/>
      <c r="AM42" s="19"/>
      <c r="AO42" s="40"/>
      <c r="BF42" s="25"/>
      <c r="BM42" s="16" t="s">
        <v>178</v>
      </c>
    </row>
    <row r="43" spans="1:65" ht="15" customHeight="1">
      <c r="A43" s="18"/>
      <c r="B43" s="194"/>
      <c r="C43" s="194"/>
      <c r="F43" s="5">
        <v>-2</v>
      </c>
      <c r="G43" s="39"/>
      <c r="H43" s="39" t="s">
        <v>32</v>
      </c>
      <c r="I43" s="39" t="s">
        <v>32</v>
      </c>
      <c r="J43" s="39" t="s">
        <v>32</v>
      </c>
      <c r="K43" s="39" t="s">
        <v>32</v>
      </c>
      <c r="L43" s="39" t="s">
        <v>32</v>
      </c>
      <c r="M43" s="39" t="s">
        <v>32</v>
      </c>
      <c r="N43" s="39" t="s">
        <v>32</v>
      </c>
      <c r="O43" s="39" t="s">
        <v>32</v>
      </c>
      <c r="P43" s="39" t="s">
        <v>32</v>
      </c>
      <c r="Q43" s="39" t="s">
        <v>32</v>
      </c>
      <c r="R43" s="39" t="s">
        <v>32</v>
      </c>
      <c r="S43" s="39" t="s">
        <v>32</v>
      </c>
      <c r="T43" s="39" t="s">
        <v>32</v>
      </c>
      <c r="U43" s="39" t="s">
        <v>32</v>
      </c>
      <c r="V43" s="39" t="s">
        <v>32</v>
      </c>
      <c r="W43" s="39" t="s">
        <v>32</v>
      </c>
      <c r="X43" s="39" t="s">
        <v>32</v>
      </c>
      <c r="Y43" s="39" t="s">
        <v>32</v>
      </c>
      <c r="Z43" s="39" t="s">
        <v>32</v>
      </c>
      <c r="AA43" s="39" t="s">
        <v>32</v>
      </c>
      <c r="AB43" s="39" t="s">
        <v>32</v>
      </c>
      <c r="AC43" s="39" t="s">
        <v>32</v>
      </c>
      <c r="AD43" s="39" t="s">
        <v>32</v>
      </c>
      <c r="AE43" s="39" t="s">
        <v>32</v>
      </c>
      <c r="AF43" s="39" t="s">
        <v>32</v>
      </c>
      <c r="AG43" s="39" t="s">
        <v>32</v>
      </c>
      <c r="AH43" s="39" t="s">
        <v>32</v>
      </c>
      <c r="AI43" s="39"/>
      <c r="AJ43" s="5">
        <v>-2</v>
      </c>
      <c r="AK43" s="19"/>
      <c r="AL43" s="19"/>
      <c r="AM43" s="19"/>
      <c r="AO43" s="40"/>
      <c r="BF43" s="25"/>
      <c r="BM43" s="16" t="s">
        <v>100</v>
      </c>
    </row>
    <row r="44" spans="1:65" ht="15" customHeight="1">
      <c r="A44" s="18"/>
      <c r="B44" s="194"/>
      <c r="C44" s="194"/>
      <c r="F44" s="5">
        <v>-3</v>
      </c>
      <c r="G44" s="39"/>
      <c r="H44" s="39" t="s">
        <v>32</v>
      </c>
      <c r="I44" s="39" t="s">
        <v>32</v>
      </c>
      <c r="J44" s="39" t="s">
        <v>32</v>
      </c>
      <c r="K44" s="39" t="s">
        <v>32</v>
      </c>
      <c r="L44" s="39" t="s">
        <v>32</v>
      </c>
      <c r="M44" s="39" t="s">
        <v>32</v>
      </c>
      <c r="N44" s="39" t="s">
        <v>32</v>
      </c>
      <c r="O44" s="39" t="s">
        <v>32</v>
      </c>
      <c r="P44" s="39" t="s">
        <v>32</v>
      </c>
      <c r="Q44" s="39" t="s">
        <v>32</v>
      </c>
      <c r="R44" s="39" t="s">
        <v>32</v>
      </c>
      <c r="S44" s="39" t="s">
        <v>32</v>
      </c>
      <c r="T44" s="39" t="s">
        <v>32</v>
      </c>
      <c r="U44" s="39" t="s">
        <v>32</v>
      </c>
      <c r="V44" s="39" t="s">
        <v>32</v>
      </c>
      <c r="W44" s="39" t="s">
        <v>32</v>
      </c>
      <c r="X44" s="39" t="s">
        <v>32</v>
      </c>
      <c r="Y44" s="39" t="s">
        <v>32</v>
      </c>
      <c r="Z44" s="39" t="s">
        <v>32</v>
      </c>
      <c r="AA44" s="39" t="s">
        <v>32</v>
      </c>
      <c r="AB44" s="39" t="s">
        <v>32</v>
      </c>
      <c r="AC44" s="39" t="s">
        <v>32</v>
      </c>
      <c r="AD44" s="39" t="s">
        <v>32</v>
      </c>
      <c r="AE44" s="39" t="s">
        <v>32</v>
      </c>
      <c r="AF44" s="39" t="s">
        <v>32</v>
      </c>
      <c r="AG44" s="39" t="s">
        <v>32</v>
      </c>
      <c r="AH44" s="39" t="s">
        <v>32</v>
      </c>
      <c r="AI44" s="39"/>
      <c r="AJ44" s="5">
        <v>-3</v>
      </c>
      <c r="AK44" s="19"/>
      <c r="AL44" s="19"/>
      <c r="AM44" s="19"/>
      <c r="AO44" s="40"/>
      <c r="BF44" s="25"/>
      <c r="BM44" s="16" t="s">
        <v>94</v>
      </c>
    </row>
    <row r="45" spans="1:65" ht="15" customHeight="1">
      <c r="A45" s="18"/>
      <c r="B45" s="194"/>
      <c r="C45" s="194"/>
      <c r="F45" s="5">
        <v>-4</v>
      </c>
      <c r="G45" s="39"/>
      <c r="H45" s="39" t="s">
        <v>32</v>
      </c>
      <c r="I45" s="39" t="s">
        <v>32</v>
      </c>
      <c r="J45" s="39" t="s">
        <v>32</v>
      </c>
      <c r="K45" s="39" t="s">
        <v>32</v>
      </c>
      <c r="L45" s="39" t="s">
        <v>32</v>
      </c>
      <c r="M45" s="39" t="s">
        <v>32</v>
      </c>
      <c r="N45" s="39" t="s">
        <v>32</v>
      </c>
      <c r="O45" s="39" t="s">
        <v>32</v>
      </c>
      <c r="P45" s="39" t="s">
        <v>32</v>
      </c>
      <c r="Q45" s="39" t="s">
        <v>32</v>
      </c>
      <c r="R45" s="39" t="s">
        <v>32</v>
      </c>
      <c r="S45" s="39" t="s">
        <v>32</v>
      </c>
      <c r="T45" s="39" t="s">
        <v>32</v>
      </c>
      <c r="U45" s="39" t="s">
        <v>32</v>
      </c>
      <c r="V45" s="39" t="s">
        <v>32</v>
      </c>
      <c r="W45" s="39" t="s">
        <v>32</v>
      </c>
      <c r="X45" s="39" t="s">
        <v>32</v>
      </c>
      <c r="Y45" s="39" t="s">
        <v>32</v>
      </c>
      <c r="Z45" s="39" t="s">
        <v>32</v>
      </c>
      <c r="AA45" s="39" t="s">
        <v>32</v>
      </c>
      <c r="AB45" s="39" t="s">
        <v>32</v>
      </c>
      <c r="AC45" s="39" t="s">
        <v>32</v>
      </c>
      <c r="AD45" s="39" t="s">
        <v>32</v>
      </c>
      <c r="AE45" s="39" t="s">
        <v>32</v>
      </c>
      <c r="AF45" s="39" t="s">
        <v>32</v>
      </c>
      <c r="AG45" s="39" t="s">
        <v>32</v>
      </c>
      <c r="AH45" s="39" t="s">
        <v>32</v>
      </c>
      <c r="AI45" s="39"/>
      <c r="AJ45" s="5">
        <v>-4</v>
      </c>
      <c r="AK45" s="19"/>
      <c r="AL45" s="19"/>
      <c r="AM45" s="19"/>
      <c r="AO45" s="20"/>
      <c r="AP45" s="20"/>
      <c r="AQ45" s="20"/>
      <c r="AR45" s="20"/>
      <c r="AS45" s="218" t="s">
        <v>24</v>
      </c>
      <c r="AT45" s="218"/>
      <c r="AU45" s="218"/>
      <c r="AV45" s="218"/>
      <c r="AW45" s="218"/>
      <c r="AX45" s="218"/>
      <c r="AY45" s="218"/>
      <c r="AZ45" s="218" t="s">
        <v>118</v>
      </c>
      <c r="BA45" s="218"/>
      <c r="BB45" s="218"/>
      <c r="BC45" s="218"/>
      <c r="BD45" s="218"/>
      <c r="BE45" s="218"/>
      <c r="BF45" s="219"/>
      <c r="BM45" s="16" t="s">
        <v>179</v>
      </c>
    </row>
    <row r="46" spans="1:65" ht="15" customHeight="1">
      <c r="A46" s="18"/>
      <c r="B46" s="194"/>
      <c r="C46" s="194"/>
      <c r="F46" s="5">
        <v>-5</v>
      </c>
      <c r="G46" s="39"/>
      <c r="H46" s="39" t="s">
        <v>32</v>
      </c>
      <c r="I46" s="39" t="s">
        <v>32</v>
      </c>
      <c r="J46" s="39" t="s">
        <v>32</v>
      </c>
      <c r="K46" s="39" t="s">
        <v>32</v>
      </c>
      <c r="L46" s="39" t="s">
        <v>32</v>
      </c>
      <c r="M46" s="39" t="s">
        <v>32</v>
      </c>
      <c r="N46" s="39" t="s">
        <v>32</v>
      </c>
      <c r="O46" s="39" t="s">
        <v>32</v>
      </c>
      <c r="P46" s="39" t="s">
        <v>32</v>
      </c>
      <c r="Q46" s="39" t="s">
        <v>32</v>
      </c>
      <c r="R46" s="39" t="s">
        <v>32</v>
      </c>
      <c r="S46" s="39" t="s">
        <v>32</v>
      </c>
      <c r="T46" s="39" t="s">
        <v>32</v>
      </c>
      <c r="U46" s="39" t="s">
        <v>32</v>
      </c>
      <c r="V46" s="39" t="s">
        <v>32</v>
      </c>
      <c r="W46" s="39" t="s">
        <v>32</v>
      </c>
      <c r="X46" s="39" t="s">
        <v>32</v>
      </c>
      <c r="Y46" s="39" t="s">
        <v>32</v>
      </c>
      <c r="Z46" s="39" t="s">
        <v>32</v>
      </c>
      <c r="AA46" s="39" t="s">
        <v>32</v>
      </c>
      <c r="AB46" s="39" t="s">
        <v>32</v>
      </c>
      <c r="AC46" s="39" t="s">
        <v>32</v>
      </c>
      <c r="AD46" s="39" t="s">
        <v>32</v>
      </c>
      <c r="AE46" s="39" t="s">
        <v>32</v>
      </c>
      <c r="AF46" s="39" t="s">
        <v>32</v>
      </c>
      <c r="AG46" s="39" t="s">
        <v>32</v>
      </c>
      <c r="AH46" s="39" t="s">
        <v>32</v>
      </c>
      <c r="AI46" s="39"/>
      <c r="AJ46" s="5">
        <v>-5</v>
      </c>
      <c r="AK46" s="19"/>
      <c r="AL46" s="19"/>
      <c r="AM46" s="19"/>
      <c r="AO46" s="20"/>
      <c r="AP46" s="20"/>
      <c r="AQ46" s="20"/>
      <c r="AR46" s="20"/>
      <c r="AS46" s="218"/>
      <c r="AT46" s="218"/>
      <c r="AU46" s="218"/>
      <c r="AV46" s="218"/>
      <c r="AW46" s="218"/>
      <c r="AX46" s="218"/>
      <c r="AY46" s="218"/>
      <c r="AZ46" s="218"/>
      <c r="BA46" s="218"/>
      <c r="BB46" s="218"/>
      <c r="BC46" s="218"/>
      <c r="BD46" s="218"/>
      <c r="BE46" s="218"/>
      <c r="BF46" s="219"/>
      <c r="BM46" s="16" t="s">
        <v>180</v>
      </c>
    </row>
    <row r="47" spans="1:65" ht="15" customHeight="1">
      <c r="A47" s="18"/>
      <c r="F47" s="5">
        <v>-6</v>
      </c>
      <c r="G47" s="39"/>
      <c r="H47" s="39" t="s">
        <v>32</v>
      </c>
      <c r="I47" s="39" t="s">
        <v>32</v>
      </c>
      <c r="J47" s="39" t="s">
        <v>32</v>
      </c>
      <c r="K47" s="39" t="s">
        <v>32</v>
      </c>
      <c r="L47" s="39" t="s">
        <v>32</v>
      </c>
      <c r="M47" s="39" t="s">
        <v>32</v>
      </c>
      <c r="N47" s="39" t="s">
        <v>32</v>
      </c>
      <c r="O47" s="39" t="s">
        <v>32</v>
      </c>
      <c r="P47" s="39" t="s">
        <v>32</v>
      </c>
      <c r="Q47" s="39" t="s">
        <v>32</v>
      </c>
      <c r="R47" s="39" t="s">
        <v>32</v>
      </c>
      <c r="S47" s="39" t="s">
        <v>32</v>
      </c>
      <c r="T47" s="39" t="s">
        <v>32</v>
      </c>
      <c r="U47" s="39" t="s">
        <v>32</v>
      </c>
      <c r="V47" s="39" t="s">
        <v>32</v>
      </c>
      <c r="W47" s="39" t="s">
        <v>32</v>
      </c>
      <c r="X47" s="39" t="s">
        <v>32</v>
      </c>
      <c r="Y47" s="39" t="s">
        <v>32</v>
      </c>
      <c r="Z47" s="39" t="s">
        <v>32</v>
      </c>
      <c r="AA47" s="39" t="s">
        <v>32</v>
      </c>
      <c r="AB47" s="39" t="s">
        <v>32</v>
      </c>
      <c r="AC47" s="39" t="s">
        <v>32</v>
      </c>
      <c r="AD47" s="39" t="s">
        <v>32</v>
      </c>
      <c r="AE47" s="39" t="s">
        <v>32</v>
      </c>
      <c r="AF47" s="39" t="s">
        <v>32</v>
      </c>
      <c r="AG47" s="39" t="s">
        <v>32</v>
      </c>
      <c r="AH47" s="39" t="s">
        <v>32</v>
      </c>
      <c r="AI47" s="39"/>
      <c r="AJ47" s="5">
        <v>-6</v>
      </c>
      <c r="AK47" s="19"/>
      <c r="AL47" s="19"/>
      <c r="AM47" s="19"/>
      <c r="AO47" s="27"/>
      <c r="AP47" s="27"/>
      <c r="AQ47" s="27"/>
      <c r="AR47" s="27"/>
      <c r="AS47" s="220" t="s">
        <v>133</v>
      </c>
      <c r="AT47" s="220"/>
      <c r="AU47" s="220"/>
      <c r="AV47" s="220"/>
      <c r="AW47" s="220"/>
      <c r="AX47" s="220"/>
      <c r="AY47" s="220"/>
      <c r="AZ47" s="218" t="s">
        <v>118</v>
      </c>
      <c r="BA47" s="218"/>
      <c r="BB47" s="218"/>
      <c r="BC47" s="218"/>
      <c r="BD47" s="218"/>
      <c r="BE47" s="218"/>
      <c r="BF47" s="219"/>
      <c r="BM47" s="16" t="s">
        <v>97</v>
      </c>
    </row>
    <row r="48" spans="1:65" ht="15" customHeight="1">
      <c r="A48" s="18"/>
      <c r="F48" s="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5"/>
      <c r="AK48" s="19"/>
      <c r="AL48" s="19"/>
      <c r="AM48" s="19"/>
      <c r="AO48" s="27"/>
      <c r="AP48" s="27"/>
      <c r="AQ48" s="27"/>
      <c r="AR48" s="27"/>
      <c r="AS48" s="220"/>
      <c r="AT48" s="220"/>
      <c r="AU48" s="220"/>
      <c r="AV48" s="220"/>
      <c r="AW48" s="220"/>
      <c r="AX48" s="220"/>
      <c r="AY48" s="220"/>
      <c r="AZ48" s="218"/>
      <c r="BA48" s="218"/>
      <c r="BB48" s="218"/>
      <c r="BC48" s="218"/>
      <c r="BD48" s="218"/>
      <c r="BE48" s="218"/>
      <c r="BF48" s="219"/>
      <c r="BM48" s="16" t="s">
        <v>181</v>
      </c>
    </row>
    <row r="49" spans="1:65" ht="18.75" customHeight="1">
      <c r="A49" s="41"/>
      <c r="B49" s="29"/>
      <c r="C49" s="29"/>
      <c r="D49" s="29"/>
      <c r="E49" s="29"/>
      <c r="F49" s="42"/>
      <c r="G49" s="73"/>
      <c r="H49" s="43">
        <v>-13</v>
      </c>
      <c r="I49" s="43">
        <v>-12</v>
      </c>
      <c r="J49" s="43">
        <v>-11</v>
      </c>
      <c r="K49" s="43">
        <v>-10</v>
      </c>
      <c r="L49" s="43">
        <v>-9</v>
      </c>
      <c r="M49" s="43">
        <v>-8</v>
      </c>
      <c r="N49" s="43">
        <v>-7</v>
      </c>
      <c r="O49" s="43">
        <v>-6</v>
      </c>
      <c r="P49" s="43">
        <v>-5</v>
      </c>
      <c r="Q49" s="43">
        <v>-4</v>
      </c>
      <c r="R49" s="43">
        <v>-3</v>
      </c>
      <c r="S49" s="44">
        <v>-2</v>
      </c>
      <c r="T49" s="44">
        <v>-1</v>
      </c>
      <c r="U49" s="44">
        <v>0</v>
      </c>
      <c r="V49" s="44">
        <v>1</v>
      </c>
      <c r="W49" s="44">
        <v>2</v>
      </c>
      <c r="X49" s="44">
        <v>3</v>
      </c>
      <c r="Y49" s="44">
        <v>4</v>
      </c>
      <c r="Z49" s="44">
        <v>5</v>
      </c>
      <c r="AA49" s="44">
        <v>6</v>
      </c>
      <c r="AB49" s="44">
        <v>7</v>
      </c>
      <c r="AC49" s="44">
        <v>8</v>
      </c>
      <c r="AD49" s="44">
        <v>9</v>
      </c>
      <c r="AE49" s="44">
        <v>10</v>
      </c>
      <c r="AF49" s="44">
        <v>11</v>
      </c>
      <c r="AG49" s="44">
        <v>12</v>
      </c>
      <c r="AH49" s="44">
        <v>13</v>
      </c>
      <c r="AI49" s="44"/>
      <c r="AJ49" s="45"/>
      <c r="AK49" s="28"/>
      <c r="AL49" s="28"/>
      <c r="AM49" s="28"/>
      <c r="AN49" s="29"/>
      <c r="AO49" s="30"/>
      <c r="AP49" s="30"/>
      <c r="AQ49" s="30"/>
      <c r="AR49" s="46"/>
      <c r="AS49" s="220"/>
      <c r="AT49" s="220"/>
      <c r="AU49" s="220"/>
      <c r="AV49" s="220"/>
      <c r="AW49" s="220"/>
      <c r="AX49" s="220"/>
      <c r="AY49" s="220"/>
      <c r="AZ49" s="218"/>
      <c r="BA49" s="218"/>
      <c r="BB49" s="218"/>
      <c r="BC49" s="218"/>
      <c r="BD49" s="218"/>
      <c r="BE49" s="218"/>
      <c r="BF49" s="219"/>
      <c r="BM49" s="16" t="s">
        <v>182</v>
      </c>
    </row>
    <row r="50" spans="1:65" ht="20.149999999999999" customHeight="1">
      <c r="A50" s="47" t="s">
        <v>33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9"/>
      <c r="M50" s="49"/>
      <c r="N50" s="50"/>
      <c r="O50" s="50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50"/>
      <c r="AB50" s="49"/>
      <c r="AC50" s="51"/>
      <c r="AD50" s="52" t="s">
        <v>25</v>
      </c>
      <c r="AE50" s="53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37"/>
      <c r="AQ50" s="52"/>
      <c r="AR50" s="52"/>
      <c r="AS50" s="52"/>
      <c r="AT50" s="52"/>
      <c r="AU50" s="52"/>
      <c r="AV50" s="52"/>
      <c r="AW50" s="50"/>
      <c r="AX50" s="52"/>
      <c r="AY50" s="54"/>
      <c r="AZ50" s="32"/>
      <c r="BB50" s="22"/>
      <c r="BC50" s="55"/>
      <c r="BD50" s="55"/>
      <c r="BE50" s="55"/>
      <c r="BF50" s="56"/>
      <c r="BM50" s="16" t="s">
        <v>183</v>
      </c>
    </row>
    <row r="51" spans="1:65" ht="20.149999999999999" customHeight="1">
      <c r="A51" s="57" t="s">
        <v>37</v>
      </c>
      <c r="B51" s="50"/>
      <c r="C51" s="49"/>
      <c r="D51" s="198" t="str">
        <f>I3</f>
        <v>11A 809 605</v>
      </c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7" t="s">
        <v>134</v>
      </c>
      <c r="P51" s="197"/>
      <c r="Q51" s="197"/>
      <c r="R51" s="197"/>
      <c r="S51" s="197"/>
      <c r="T51" s="197"/>
      <c r="U51" s="197"/>
      <c r="V51" s="58"/>
      <c r="W51" s="58"/>
      <c r="X51" s="58"/>
      <c r="Y51" s="58"/>
      <c r="Z51" s="58"/>
      <c r="AA51" s="58"/>
      <c r="AB51" s="58"/>
      <c r="AC51" s="59"/>
      <c r="AD51" s="210" t="s">
        <v>251</v>
      </c>
      <c r="AE51" s="211"/>
      <c r="AF51" s="211"/>
      <c r="AG51" s="211"/>
      <c r="AH51" s="211"/>
      <c r="AI51" s="211"/>
      <c r="AJ51" s="211"/>
      <c r="AK51" s="211"/>
      <c r="AL51" s="211"/>
      <c r="AM51" s="211"/>
      <c r="AN51" s="211"/>
      <c r="AO51" s="211"/>
      <c r="AP51" s="211"/>
      <c r="AQ51" s="211"/>
      <c r="AR51" s="22"/>
      <c r="AS51" s="22"/>
      <c r="AT51" s="20"/>
      <c r="AU51" s="22"/>
      <c r="AV51" s="22"/>
      <c r="AW51" s="50"/>
      <c r="AX51" s="22"/>
      <c r="AY51" s="50"/>
      <c r="BB51" s="22"/>
      <c r="BC51" s="55"/>
      <c r="BD51" s="55"/>
      <c r="BE51" s="55"/>
      <c r="BF51" s="56"/>
      <c r="BM51" s="16" t="s">
        <v>184</v>
      </c>
    </row>
    <row r="52" spans="1:65" ht="20.149999999999999" customHeight="1">
      <c r="A52" s="60" t="s">
        <v>38</v>
      </c>
      <c r="B52" s="50"/>
      <c r="C52" s="61"/>
      <c r="D52" s="197" t="str">
        <f>I3</f>
        <v>11A 809 605</v>
      </c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 t="s">
        <v>135</v>
      </c>
      <c r="P52" s="197"/>
      <c r="Q52" s="197"/>
      <c r="R52" s="197"/>
      <c r="S52" s="197"/>
      <c r="T52" s="197"/>
      <c r="U52" s="197"/>
      <c r="V52" s="58"/>
      <c r="W52" s="58"/>
      <c r="X52" s="58"/>
      <c r="Y52" s="58"/>
      <c r="Z52" s="58"/>
      <c r="AA52" s="58"/>
      <c r="AB52" s="58"/>
      <c r="AC52" s="59"/>
      <c r="AD52" s="96" t="s">
        <v>199</v>
      </c>
      <c r="AE52" s="97"/>
      <c r="AF52" s="97"/>
      <c r="AG52" s="97"/>
      <c r="AH52" s="209">
        <v>12</v>
      </c>
      <c r="AI52" s="209"/>
      <c r="AJ52" s="97" t="s">
        <v>200</v>
      </c>
      <c r="AK52" s="97"/>
      <c r="AL52" s="97"/>
      <c r="AM52" s="97"/>
      <c r="AN52" s="97"/>
      <c r="AO52" s="97"/>
      <c r="AP52" s="97"/>
      <c r="AQ52" s="97"/>
      <c r="AR52" s="22"/>
      <c r="AS52" s="22"/>
      <c r="AT52" s="20"/>
      <c r="AU52" s="22"/>
      <c r="AV52" s="22"/>
      <c r="AW52" s="50"/>
      <c r="AX52" s="22"/>
      <c r="AY52" s="50"/>
      <c r="BB52" s="22"/>
      <c r="BC52" s="55"/>
      <c r="BD52" s="55"/>
      <c r="BE52" s="55"/>
      <c r="BF52" s="56"/>
      <c r="BM52" s="16" t="s">
        <v>185</v>
      </c>
    </row>
    <row r="53" spans="1:65" ht="20.149999999999999" customHeight="1">
      <c r="A53" s="60"/>
      <c r="B53" s="50"/>
      <c r="C53" s="61"/>
      <c r="D53" s="61"/>
      <c r="E53" s="61"/>
      <c r="F53" s="61"/>
      <c r="G53" s="61"/>
      <c r="H53" s="61"/>
      <c r="I53" s="50"/>
      <c r="J53" s="61"/>
      <c r="K53" s="61"/>
      <c r="L53" s="50"/>
      <c r="M53" s="61"/>
      <c r="N53" s="50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62"/>
      <c r="AD53" s="128" t="s">
        <v>119</v>
      </c>
      <c r="AE53" s="129"/>
      <c r="AF53" s="129"/>
      <c r="AG53" s="129"/>
      <c r="AH53" s="129"/>
      <c r="AI53" s="129"/>
      <c r="AJ53" s="217" t="s">
        <v>120</v>
      </c>
      <c r="AK53" s="217"/>
      <c r="AL53" s="217"/>
      <c r="AM53" s="22"/>
      <c r="AN53" s="22"/>
      <c r="AO53" s="22"/>
      <c r="AP53" s="22"/>
      <c r="AQ53" s="22"/>
      <c r="AR53" s="22"/>
      <c r="AS53" s="22"/>
      <c r="AT53" s="20"/>
      <c r="AU53" s="22"/>
      <c r="AV53" s="22"/>
      <c r="AW53" s="50"/>
      <c r="AX53" s="22"/>
      <c r="AY53" s="50"/>
      <c r="BB53" s="22"/>
      <c r="BC53" s="55"/>
      <c r="BD53" s="55"/>
      <c r="BE53" s="55"/>
      <c r="BF53" s="56"/>
      <c r="BM53" s="16" t="s">
        <v>255</v>
      </c>
    </row>
    <row r="54" spans="1:65" ht="20.149999999999999" customHeight="1">
      <c r="A54" s="47" t="s">
        <v>26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54"/>
      <c r="AB54" s="48"/>
      <c r="AC54" s="64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50"/>
      <c r="AT54" s="49"/>
      <c r="AU54" s="49"/>
      <c r="AV54" s="49"/>
      <c r="AW54" s="49"/>
      <c r="AX54" s="49"/>
      <c r="AY54" s="49"/>
      <c r="AZ54" s="55"/>
      <c r="BA54" s="55"/>
      <c r="BB54" s="55"/>
      <c r="BC54" s="55"/>
      <c r="BD54" s="55"/>
      <c r="BE54" s="55"/>
      <c r="BF54" s="56"/>
      <c r="BM54" s="16" t="s">
        <v>254</v>
      </c>
    </row>
    <row r="55" spans="1:65" ht="20.149999999999999" customHeight="1">
      <c r="A55" s="212" t="s">
        <v>260</v>
      </c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3"/>
      <c r="AB55" s="213"/>
      <c r="AC55" s="214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50"/>
      <c r="AT55" s="49"/>
      <c r="AU55" s="49"/>
      <c r="AV55" s="49"/>
      <c r="AW55" s="49"/>
      <c r="AX55" s="49"/>
      <c r="AY55" s="49"/>
      <c r="AZ55" s="55"/>
      <c r="BA55" s="55"/>
      <c r="BB55" s="55"/>
      <c r="BC55" s="55"/>
      <c r="BD55" s="55"/>
      <c r="BE55" s="55"/>
      <c r="BF55" s="56"/>
      <c r="BM55" s="16" t="s">
        <v>269</v>
      </c>
    </row>
    <row r="56" spans="1:65" ht="20.149999999999999" customHeight="1">
      <c r="A56" s="215" t="s">
        <v>259</v>
      </c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6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55"/>
      <c r="BE56" s="55"/>
      <c r="BF56" s="56"/>
    </row>
    <row r="57" spans="1:65" ht="20.149999999999999" customHeight="1">
      <c r="A57" s="60"/>
      <c r="B57" s="27"/>
      <c r="C57" s="22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65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50"/>
      <c r="AT57" s="49"/>
      <c r="AU57" s="49"/>
      <c r="AV57" s="49"/>
      <c r="AW57" s="49"/>
      <c r="AX57" s="49"/>
      <c r="AY57" s="49"/>
      <c r="AZ57" s="55"/>
      <c r="BA57" s="55"/>
      <c r="BB57" s="55"/>
      <c r="BC57" s="55"/>
      <c r="BD57" s="55"/>
      <c r="BE57" s="55"/>
      <c r="BF57" s="56"/>
    </row>
    <row r="58" spans="1:65" ht="20.149999999999999" customHeight="1">
      <c r="A58" s="66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65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50"/>
      <c r="AT58" s="49"/>
      <c r="AU58" s="49"/>
      <c r="AV58" s="49"/>
      <c r="AW58" s="49"/>
      <c r="AX58" s="49"/>
      <c r="AY58" s="49"/>
      <c r="AZ58" s="55"/>
      <c r="BA58" s="55"/>
      <c r="BB58" s="55"/>
      <c r="BC58" s="55"/>
      <c r="BD58" s="55"/>
      <c r="BE58" s="55"/>
      <c r="BF58" s="56"/>
    </row>
    <row r="59" spans="1:65" ht="20.149999999999999" customHeight="1">
      <c r="A59" s="67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68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81"/>
      <c r="AZ59" s="81"/>
      <c r="BA59" s="81"/>
      <c r="BB59" s="81"/>
      <c r="BC59" s="81"/>
      <c r="BD59" s="81"/>
      <c r="BE59" s="49"/>
      <c r="BF59" s="56"/>
    </row>
    <row r="60" spans="1:65" s="20" customFormat="1" ht="27" customHeight="1" thickBot="1">
      <c r="A60" s="11"/>
      <c r="B60" s="12" t="s">
        <v>29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2" t="s">
        <v>30</v>
      </c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2" t="s">
        <v>31</v>
      </c>
      <c r="AP60" s="13"/>
      <c r="AQ60" s="13"/>
      <c r="AR60" s="13"/>
      <c r="AS60" s="13"/>
      <c r="AT60" s="13"/>
      <c r="AU60" s="13"/>
      <c r="AV60" s="13"/>
      <c r="AW60" s="13"/>
      <c r="AX60" s="13"/>
      <c r="AY60" s="14"/>
      <c r="AZ60" s="14"/>
      <c r="BA60" s="14"/>
      <c r="BB60" s="14"/>
      <c r="BC60" s="14"/>
      <c r="BD60" s="14"/>
      <c r="BE60" s="13"/>
      <c r="BF60" s="15"/>
    </row>
    <row r="61" spans="1:65" ht="16.5" customHeight="1">
      <c r="A61" s="1" t="s">
        <v>263</v>
      </c>
    </row>
  </sheetData>
  <protectedRanges>
    <protectedRange sqref="AZ1:AZ2 I5 AD4:BF8 AS10:AS12 BA21 H35:AH47 AZ45:BF49 AH52 AJ53 AD54:BF59 I8 I10:I15 AS14:AS15 BA22:BF32" name="区域3"/>
    <protectedRange sqref="AJ53" name="区域2"/>
    <protectedRange sqref="AX17" name="区域1"/>
    <protectedRange sqref="BA34" name="区域1_1"/>
    <protectedRange sqref="AS13:BC13" name="区域1_2"/>
    <protectedRange sqref="G17:AI17 G31:AI31 G18:G30 H18:H19 H29:H30 AH18:AI30 AG18 AG30 I18 I30" name="区域3_1"/>
    <protectedRange sqref="H20:AG28 I19:AG19 I29:AG29 J18:AF18 J30:AF30" name="区域1_12"/>
  </protectedRanges>
  <sortState xmlns:xlrd2="http://schemas.microsoft.com/office/spreadsheetml/2017/richdata2" ref="BM3:BM66">
    <sortCondition ref="BM2"/>
  </sortState>
  <mergeCells count="113">
    <mergeCell ref="AH52:AI52"/>
    <mergeCell ref="AD53:AI53"/>
    <mergeCell ref="AD51:AQ51"/>
    <mergeCell ref="A55:AC55"/>
    <mergeCell ref="A56:AC56"/>
    <mergeCell ref="AJ53:AL53"/>
    <mergeCell ref="O52:U52"/>
    <mergeCell ref="D52:N52"/>
    <mergeCell ref="AT30:AZ30"/>
    <mergeCell ref="AS45:AY46"/>
    <mergeCell ref="AZ45:BF46"/>
    <mergeCell ref="AS47:AY49"/>
    <mergeCell ref="AZ47:BF49"/>
    <mergeCell ref="AT31:AZ32"/>
    <mergeCell ref="BA31:BF32"/>
    <mergeCell ref="BA30:BF30"/>
    <mergeCell ref="A15:H15"/>
    <mergeCell ref="AB15:AC15"/>
    <mergeCell ref="AM24:AM28"/>
    <mergeCell ref="B36:C46"/>
    <mergeCell ref="A12:H12"/>
    <mergeCell ref="I12:AA12"/>
    <mergeCell ref="AB12:AC12"/>
    <mergeCell ref="O51:U51"/>
    <mergeCell ref="D51:N51"/>
    <mergeCell ref="S14:AA14"/>
    <mergeCell ref="I15:R15"/>
    <mergeCell ref="S15:AA15"/>
    <mergeCell ref="A13:H13"/>
    <mergeCell ref="I13:AA13"/>
    <mergeCell ref="AB13:AC13"/>
    <mergeCell ref="AD13:AR13"/>
    <mergeCell ref="A14:H14"/>
    <mergeCell ref="AB14:AC14"/>
    <mergeCell ref="I14:R14"/>
    <mergeCell ref="B18:C31"/>
    <mergeCell ref="AM21:AM23"/>
    <mergeCell ref="AD12:AR12"/>
    <mergeCell ref="AD15:AR15"/>
    <mergeCell ref="AD14:AR14"/>
    <mergeCell ref="BD14:BF14"/>
    <mergeCell ref="BD15:BF15"/>
    <mergeCell ref="AS14:BC14"/>
    <mergeCell ref="AS15:BC15"/>
    <mergeCell ref="AS12:BC12"/>
    <mergeCell ref="AS13:BC13"/>
    <mergeCell ref="BD13:BF13"/>
    <mergeCell ref="BD12:BF12"/>
    <mergeCell ref="BA22:BB22"/>
    <mergeCell ref="BC22:BD22"/>
    <mergeCell ref="BE22:BF22"/>
    <mergeCell ref="BA21:BF21"/>
    <mergeCell ref="AT21:AZ21"/>
    <mergeCell ref="AT22:AY29"/>
    <mergeCell ref="BA23:BB23"/>
    <mergeCell ref="BA29:BB29"/>
    <mergeCell ref="BC29:BD29"/>
    <mergeCell ref="BE29:BF29"/>
    <mergeCell ref="BC23:BD23"/>
    <mergeCell ref="BE23:BF23"/>
    <mergeCell ref="BA24:BB24"/>
    <mergeCell ref="BC24:BD24"/>
    <mergeCell ref="BE24:BF24"/>
    <mergeCell ref="BA25:BB25"/>
    <mergeCell ref="BC25:BD25"/>
    <mergeCell ref="BE25:BF25"/>
    <mergeCell ref="BA26:BB26"/>
    <mergeCell ref="BC26:BD26"/>
    <mergeCell ref="BE26:BF26"/>
    <mergeCell ref="BA27:BB27"/>
    <mergeCell ref="BC27:BD27"/>
    <mergeCell ref="BE27:BF27"/>
    <mergeCell ref="BA28:BB28"/>
    <mergeCell ref="BC28:BD28"/>
    <mergeCell ref="BE28:BF28"/>
    <mergeCell ref="A6:H6"/>
    <mergeCell ref="A7:H7"/>
    <mergeCell ref="I6:AC6"/>
    <mergeCell ref="A11:H11"/>
    <mergeCell ref="I7:AC7"/>
    <mergeCell ref="AB10:AC10"/>
    <mergeCell ref="AB11:AC11"/>
    <mergeCell ref="I10:AA10"/>
    <mergeCell ref="I11:AA11"/>
    <mergeCell ref="A9:BF9"/>
    <mergeCell ref="A10:H10"/>
    <mergeCell ref="AD10:AR10"/>
    <mergeCell ref="I8:AC8"/>
    <mergeCell ref="BE6:BE8"/>
    <mergeCell ref="BD11:BF11"/>
    <mergeCell ref="BD10:BF10"/>
    <mergeCell ref="AS10:BC10"/>
    <mergeCell ref="AS11:BC11"/>
    <mergeCell ref="AD11:AR11"/>
    <mergeCell ref="AS3:AY3"/>
    <mergeCell ref="AZ3:BF3"/>
    <mergeCell ref="A4:AC4"/>
    <mergeCell ref="A5:H5"/>
    <mergeCell ref="AD5:AI5"/>
    <mergeCell ref="AA5:AC5"/>
    <mergeCell ref="I5:Z5"/>
    <mergeCell ref="A1:AR2"/>
    <mergeCell ref="AS1:AY1"/>
    <mergeCell ref="BE4:BE5"/>
    <mergeCell ref="A3:H3"/>
    <mergeCell ref="I3:O3"/>
    <mergeCell ref="P3:V3"/>
    <mergeCell ref="W3:AC3"/>
    <mergeCell ref="AD3:AK3"/>
    <mergeCell ref="AZ1:BF1"/>
    <mergeCell ref="AS2:AY2"/>
    <mergeCell ref="AZ2:BF2"/>
    <mergeCell ref="AL3:AR3"/>
  </mergeCells>
  <phoneticPr fontId="2" type="noConversion"/>
  <conditionalFormatting sqref="G17:AI17 H18:H19 G18:G30 G31:AI31">
    <cfRule type="expression" dxfId="79" priority="8">
      <formula>AND($AZ$2&lt;&gt;"4-100",$AZ$2&lt;&gt;"4-200",$AZ$2&lt;&gt;"5-100",$AZ$2&lt;&gt;"5-200",G17=$BC$16)</formula>
    </cfRule>
  </conditionalFormatting>
  <conditionalFormatting sqref="H29:H30">
    <cfRule type="expression" dxfId="78" priority="7">
      <formula>AND($AZ$2&lt;&gt;"4-100",$AZ$2&lt;&gt;"4-200",$AZ$2&lt;&gt;"5-100",$AZ$2&lt;&gt;"5-200",H29=$BC$16)</formula>
    </cfRule>
  </conditionalFormatting>
  <conditionalFormatting sqref="I18">
    <cfRule type="expression" dxfId="77" priority="2">
      <formula>AND($AZ$2&lt;&gt;"4-100",$AZ$2&lt;&gt;"4-200",$AZ$2&lt;&gt;"5-100",$AZ$2&lt;&gt;"5-200",I18=$BC$16)</formula>
    </cfRule>
  </conditionalFormatting>
  <conditionalFormatting sqref="I30">
    <cfRule type="expression" dxfId="76" priority="1">
      <formula>AND($AZ$2&lt;&gt;"4-100",$AZ$2&lt;&gt;"4-200",$AZ$2&lt;&gt;"5-100",$AZ$2&lt;&gt;"5-200",I30=$BC$16)</formula>
    </cfRule>
  </conditionalFormatting>
  <conditionalFormatting sqref="AG30">
    <cfRule type="expression" dxfId="75" priority="3">
      <formula>AND($AZ$2&lt;&gt;"4-100",$AZ$2&lt;&gt;"4-200",$AZ$2&lt;&gt;"5-100",$AZ$2&lt;&gt;"5-200",AG30=$BC$16)</formula>
    </cfRule>
  </conditionalFormatting>
  <conditionalFormatting sqref="AG18:AI18">
    <cfRule type="expression" dxfId="74" priority="4">
      <formula>AND($AZ$2&lt;&gt;"4-100",$AZ$2&lt;&gt;"4-200",$AZ$2&lt;&gt;"5-100",$AZ$2&lt;&gt;"5-200",AG18=$BC$16)</formula>
    </cfRule>
  </conditionalFormatting>
  <conditionalFormatting sqref="AH20:AH28">
    <cfRule type="cellIs" dxfId="73" priority="10" operator="equal">
      <formula>$BT$5</formula>
    </cfRule>
  </conditionalFormatting>
  <conditionalFormatting sqref="AH19:AI30">
    <cfRule type="expression" dxfId="72" priority="5">
      <formula>AND($AZ$2&lt;&gt;"4-100",$AZ$2&lt;&gt;"4-200",$AZ$2&lt;&gt;"5-100",$AZ$2&lt;&gt;"5-200",AH19=$BC$16)</formula>
    </cfRule>
  </conditionalFormatting>
  <conditionalFormatting sqref="AJ53">
    <cfRule type="containsBlanks" dxfId="71" priority="241">
      <formula>LEN(TRIM(AJ53))=0</formula>
    </cfRule>
  </conditionalFormatting>
  <dataValidations count="14">
    <dataValidation type="list" allowBlank="1" showInputMessage="1" showErrorMessage="1" sqref="I8:AC8" xr:uid="{00000000-0002-0000-0000-000000000000}">
      <formula1>$BL$2:$BL$13</formula1>
    </dataValidation>
    <dataValidation type="list" allowBlank="1" showInputMessage="1" showErrorMessage="1" sqref="AZ2:BF2" xr:uid="{00000000-0002-0000-0000-000001000000}">
      <formula1>$BI$2:$BI$10</formula1>
    </dataValidation>
    <dataValidation type="list" allowBlank="1" showInputMessage="1" showErrorMessage="1" sqref="H29:H30 G17:AG17 G31:AG31 G18:G30 H18:H19 AH17:AI31 AG18 AG30 I18 I30" xr:uid="{00000000-0002-0000-0000-000002000000}">
      <formula1>$BT$2:$BT$6</formula1>
    </dataValidation>
    <dataValidation type="list" allowBlank="1" showInputMessage="1" showErrorMessage="1" sqref="AJ53" xr:uid="{00000000-0002-0000-0000-000003000000}">
      <formula1>$BU$2:$BU$3</formula1>
    </dataValidation>
    <dataValidation type="list" allowBlank="1" showInputMessage="1" showErrorMessage="1" sqref="AS10:BC10" xr:uid="{00000000-0002-0000-0000-000004000000}">
      <formula1>$BK$2:$BK$3</formula1>
    </dataValidation>
    <dataValidation type="list" allowBlank="1" showInputMessage="1" showErrorMessage="1" sqref="O51:U52" xr:uid="{00000000-0002-0000-0000-000005000000}">
      <formula1>$BO$2:$BO$8</formula1>
    </dataValidation>
    <dataValidation type="list" allowBlank="1" showInputMessage="1" showErrorMessage="1" sqref="H35:AH47" xr:uid="{00000000-0002-0000-0000-000006000000}">
      <formula1>$BT$2:$BT$3</formula1>
    </dataValidation>
    <dataValidation type="list" allowBlank="1" showInputMessage="1" showErrorMessage="1" sqref="BA21:BF21" xr:uid="{00000000-0002-0000-0000-000007000000}">
      <formula1>$BN$2:$BN$3</formula1>
    </dataValidation>
    <dataValidation type="list" allowBlank="1" showInputMessage="1" showErrorMessage="1" sqref="AH52:AI52" xr:uid="{00000000-0002-0000-0000-000008000000}">
      <formula1>$BV$2:$BV$11</formula1>
    </dataValidation>
    <dataValidation type="list" allowBlank="1" showInputMessage="1" showErrorMessage="1" sqref="BD15:BF15" xr:uid="{00000000-0002-0000-0000-000009000000}">
      <formula1>$BW$2:$BW$3</formula1>
    </dataValidation>
    <dataValidation type="list" allowBlank="1" showInputMessage="1" showErrorMessage="1" sqref="AZ3:BF3" xr:uid="{00000000-0002-0000-0000-00000A000000}">
      <formula1>$BJ$2:$BJ$7</formula1>
    </dataValidation>
    <dataValidation type="list" allowBlank="1" showInputMessage="1" showErrorMessage="1" sqref="I7:AC7" xr:uid="{00000000-0002-0000-0000-00000B000000}">
      <formula1>$BL$2:$BL$14</formula1>
    </dataValidation>
    <dataValidation type="list" allowBlank="1" showInputMessage="1" showErrorMessage="1" sqref="BM2" xr:uid="{00000000-0002-0000-0000-00000C000000}">
      <formula1>$BM$2:$BM$60</formula1>
    </dataValidation>
    <dataValidation type="list" allowBlank="1" showInputMessage="1" showErrorMessage="1" sqref="H20:H28 AG19:AG29 J18:AF30 I19:I29" xr:uid="{00000000-0002-0000-0000-00000D000000}">
      <formula1>$BS$2:$BS$4</formula1>
    </dataValidation>
  </dataValidations>
  <printOptions horizontalCentered="1" verticalCentered="1"/>
  <pageMargins left="0.35433070866141736" right="0.35433070866141736" top="0.43307086614173229" bottom="0.47244094488188981" header="0.31496062992125984" footer="0.27559055118110237"/>
  <pageSetup paperSize="9" scale="6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S55"/>
  <sheetViews>
    <sheetView view="pageBreakPreview" zoomScale="80" zoomScaleNormal="100" zoomScaleSheetLayoutView="80" workbookViewId="0">
      <selection activeCell="AU16" sqref="AU16"/>
    </sheetView>
  </sheetViews>
  <sheetFormatPr defaultRowHeight="16.5"/>
  <cols>
    <col min="1" max="58" width="2.6328125" style="16" customWidth="1"/>
    <col min="59" max="63" width="8.90625" style="16"/>
    <col min="64" max="64" width="16.1796875" style="16" bestFit="1" customWidth="1"/>
    <col min="65" max="65" width="15" style="16" bestFit="1" customWidth="1"/>
    <col min="66" max="257" width="8.90625" style="16"/>
    <col min="258" max="313" width="2.08984375" style="16" customWidth="1"/>
    <col min="314" max="513" width="8.90625" style="16"/>
    <col min="514" max="569" width="2.08984375" style="16" customWidth="1"/>
    <col min="570" max="769" width="8.90625" style="16"/>
    <col min="770" max="825" width="2.08984375" style="16" customWidth="1"/>
    <col min="826" max="1025" width="8.90625" style="16"/>
    <col min="1026" max="1081" width="2.08984375" style="16" customWidth="1"/>
    <col min="1082" max="1281" width="8.90625" style="16"/>
    <col min="1282" max="1337" width="2.08984375" style="16" customWidth="1"/>
    <col min="1338" max="1537" width="8.90625" style="16"/>
    <col min="1538" max="1593" width="2.08984375" style="16" customWidth="1"/>
    <col min="1594" max="1793" width="8.90625" style="16"/>
    <col min="1794" max="1849" width="2.08984375" style="16" customWidth="1"/>
    <col min="1850" max="2049" width="8.90625" style="16"/>
    <col min="2050" max="2105" width="2.08984375" style="16" customWidth="1"/>
    <col min="2106" max="2305" width="8.90625" style="16"/>
    <col min="2306" max="2361" width="2.08984375" style="16" customWidth="1"/>
    <col min="2362" max="2561" width="8.90625" style="16"/>
    <col min="2562" max="2617" width="2.08984375" style="16" customWidth="1"/>
    <col min="2618" max="2817" width="8.90625" style="16"/>
    <col min="2818" max="2873" width="2.08984375" style="16" customWidth="1"/>
    <col min="2874" max="3073" width="8.90625" style="16"/>
    <col min="3074" max="3129" width="2.08984375" style="16" customWidth="1"/>
    <col min="3130" max="3329" width="8.90625" style="16"/>
    <col min="3330" max="3385" width="2.08984375" style="16" customWidth="1"/>
    <col min="3386" max="3585" width="8.90625" style="16"/>
    <col min="3586" max="3641" width="2.08984375" style="16" customWidth="1"/>
    <col min="3642" max="3841" width="8.90625" style="16"/>
    <col min="3842" max="3897" width="2.08984375" style="16" customWidth="1"/>
    <col min="3898" max="4097" width="8.90625" style="16"/>
    <col min="4098" max="4153" width="2.08984375" style="16" customWidth="1"/>
    <col min="4154" max="4353" width="8.90625" style="16"/>
    <col min="4354" max="4409" width="2.08984375" style="16" customWidth="1"/>
    <col min="4410" max="4609" width="8.90625" style="16"/>
    <col min="4610" max="4665" width="2.08984375" style="16" customWidth="1"/>
    <col min="4666" max="4865" width="8.90625" style="16"/>
    <col min="4866" max="4921" width="2.08984375" style="16" customWidth="1"/>
    <col min="4922" max="5121" width="8.90625" style="16"/>
    <col min="5122" max="5177" width="2.08984375" style="16" customWidth="1"/>
    <col min="5178" max="5377" width="8.90625" style="16"/>
    <col min="5378" max="5433" width="2.08984375" style="16" customWidth="1"/>
    <col min="5434" max="5633" width="8.90625" style="16"/>
    <col min="5634" max="5689" width="2.08984375" style="16" customWidth="1"/>
    <col min="5690" max="5889" width="8.90625" style="16"/>
    <col min="5890" max="5945" width="2.08984375" style="16" customWidth="1"/>
    <col min="5946" max="6145" width="8.90625" style="16"/>
    <col min="6146" max="6201" width="2.08984375" style="16" customWidth="1"/>
    <col min="6202" max="6401" width="8.90625" style="16"/>
    <col min="6402" max="6457" width="2.08984375" style="16" customWidth="1"/>
    <col min="6458" max="6657" width="8.90625" style="16"/>
    <col min="6658" max="6713" width="2.08984375" style="16" customWidth="1"/>
    <col min="6714" max="6913" width="8.90625" style="16"/>
    <col min="6914" max="6969" width="2.08984375" style="16" customWidth="1"/>
    <col min="6970" max="7169" width="8.90625" style="16"/>
    <col min="7170" max="7225" width="2.08984375" style="16" customWidth="1"/>
    <col min="7226" max="7425" width="8.90625" style="16"/>
    <col min="7426" max="7481" width="2.08984375" style="16" customWidth="1"/>
    <col min="7482" max="7681" width="8.90625" style="16"/>
    <col min="7682" max="7737" width="2.08984375" style="16" customWidth="1"/>
    <col min="7738" max="7937" width="8.90625" style="16"/>
    <col min="7938" max="7993" width="2.08984375" style="16" customWidth="1"/>
    <col min="7994" max="8193" width="8.90625" style="16"/>
    <col min="8194" max="8249" width="2.08984375" style="16" customWidth="1"/>
    <col min="8250" max="8449" width="8.90625" style="16"/>
    <col min="8450" max="8505" width="2.08984375" style="16" customWidth="1"/>
    <col min="8506" max="8705" width="8.90625" style="16"/>
    <col min="8706" max="8761" width="2.08984375" style="16" customWidth="1"/>
    <col min="8762" max="8961" width="8.90625" style="16"/>
    <col min="8962" max="9017" width="2.08984375" style="16" customWidth="1"/>
    <col min="9018" max="9217" width="8.90625" style="16"/>
    <col min="9218" max="9273" width="2.08984375" style="16" customWidth="1"/>
    <col min="9274" max="9473" width="8.90625" style="16"/>
    <col min="9474" max="9529" width="2.08984375" style="16" customWidth="1"/>
    <col min="9530" max="9729" width="8.90625" style="16"/>
    <col min="9730" max="9785" width="2.08984375" style="16" customWidth="1"/>
    <col min="9786" max="9985" width="8.90625" style="16"/>
    <col min="9986" max="10041" width="2.08984375" style="16" customWidth="1"/>
    <col min="10042" max="10241" width="8.90625" style="16"/>
    <col min="10242" max="10297" width="2.08984375" style="16" customWidth="1"/>
    <col min="10298" max="10497" width="8.90625" style="16"/>
    <col min="10498" max="10553" width="2.08984375" style="16" customWidth="1"/>
    <col min="10554" max="10753" width="8.90625" style="16"/>
    <col min="10754" max="10809" width="2.08984375" style="16" customWidth="1"/>
    <col min="10810" max="11009" width="8.90625" style="16"/>
    <col min="11010" max="11065" width="2.08984375" style="16" customWidth="1"/>
    <col min="11066" max="11265" width="8.90625" style="16"/>
    <col min="11266" max="11321" width="2.08984375" style="16" customWidth="1"/>
    <col min="11322" max="11521" width="8.90625" style="16"/>
    <col min="11522" max="11577" width="2.08984375" style="16" customWidth="1"/>
    <col min="11578" max="11777" width="8.90625" style="16"/>
    <col min="11778" max="11833" width="2.08984375" style="16" customWidth="1"/>
    <col min="11834" max="12033" width="8.90625" style="16"/>
    <col min="12034" max="12089" width="2.08984375" style="16" customWidth="1"/>
    <col min="12090" max="12289" width="8.90625" style="16"/>
    <col min="12290" max="12345" width="2.08984375" style="16" customWidth="1"/>
    <col min="12346" max="12545" width="8.90625" style="16"/>
    <col min="12546" max="12601" width="2.08984375" style="16" customWidth="1"/>
    <col min="12602" max="12801" width="8.90625" style="16"/>
    <col min="12802" max="12857" width="2.08984375" style="16" customWidth="1"/>
    <col min="12858" max="13057" width="8.90625" style="16"/>
    <col min="13058" max="13113" width="2.08984375" style="16" customWidth="1"/>
    <col min="13114" max="13313" width="8.90625" style="16"/>
    <col min="13314" max="13369" width="2.08984375" style="16" customWidth="1"/>
    <col min="13370" max="13569" width="8.90625" style="16"/>
    <col min="13570" max="13625" width="2.08984375" style="16" customWidth="1"/>
    <col min="13626" max="13825" width="8.90625" style="16"/>
    <col min="13826" max="13881" width="2.08984375" style="16" customWidth="1"/>
    <col min="13882" max="14081" width="8.90625" style="16"/>
    <col min="14082" max="14137" width="2.08984375" style="16" customWidth="1"/>
    <col min="14138" max="14337" width="8.90625" style="16"/>
    <col min="14338" max="14393" width="2.08984375" style="16" customWidth="1"/>
    <col min="14394" max="14593" width="8.90625" style="16"/>
    <col min="14594" max="14649" width="2.08984375" style="16" customWidth="1"/>
    <col min="14650" max="14849" width="8.90625" style="16"/>
    <col min="14850" max="14905" width="2.08984375" style="16" customWidth="1"/>
    <col min="14906" max="15105" width="8.90625" style="16"/>
    <col min="15106" max="15161" width="2.08984375" style="16" customWidth="1"/>
    <col min="15162" max="15361" width="8.90625" style="16"/>
    <col min="15362" max="15417" width="2.08984375" style="16" customWidth="1"/>
    <col min="15418" max="15617" width="8.90625" style="16"/>
    <col min="15618" max="15673" width="2.08984375" style="16" customWidth="1"/>
    <col min="15674" max="15873" width="8.90625" style="16"/>
    <col min="15874" max="15929" width="2.08984375" style="16" customWidth="1"/>
    <col min="15930" max="16129" width="8.90625" style="16"/>
    <col min="16130" max="16185" width="2.08984375" style="16" customWidth="1"/>
    <col min="16186" max="16383" width="8.90625" style="16"/>
    <col min="16384" max="16384" width="8.90625" style="16" customWidth="1"/>
  </cols>
  <sheetData>
    <row r="1" spans="1:71" ht="27" customHeight="1">
      <c r="A1" s="131" t="s">
        <v>262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3"/>
      <c r="AS1" s="137" t="s">
        <v>0</v>
      </c>
      <c r="AT1" s="138"/>
      <c r="AU1" s="138"/>
      <c r="AV1" s="138"/>
      <c r="AW1" s="138"/>
      <c r="AX1" s="138"/>
      <c r="AY1" s="138"/>
      <c r="AZ1" s="143">
        <v>1.1100000000000001</v>
      </c>
      <c r="BA1" s="144"/>
      <c r="BB1" s="144"/>
      <c r="BC1" s="144"/>
      <c r="BD1" s="144"/>
      <c r="BE1" s="144"/>
      <c r="BF1" s="145"/>
    </row>
    <row r="2" spans="1:71" ht="27" customHeight="1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6"/>
      <c r="AS2" s="127" t="s">
        <v>85</v>
      </c>
      <c r="AT2" s="123"/>
      <c r="AU2" s="123"/>
      <c r="AV2" s="123"/>
      <c r="AW2" s="123"/>
      <c r="AX2" s="123"/>
      <c r="AY2" s="123"/>
      <c r="AZ2" s="146" t="s">
        <v>303</v>
      </c>
      <c r="BA2" s="147"/>
      <c r="BB2" s="147"/>
      <c r="BC2" s="147"/>
      <c r="BD2" s="147"/>
      <c r="BE2" s="147"/>
      <c r="BF2" s="148"/>
      <c r="BH2" s="16" t="s">
        <v>304</v>
      </c>
      <c r="BI2" s="88" t="s">
        <v>111</v>
      </c>
      <c r="BJ2" s="16" t="s">
        <v>125</v>
      </c>
      <c r="BK2" s="16" t="s">
        <v>127</v>
      </c>
      <c r="BL2" s="16" t="s">
        <v>138</v>
      </c>
      <c r="BM2" s="16" t="s">
        <v>146</v>
      </c>
      <c r="BN2" s="89" t="s">
        <v>201</v>
      </c>
      <c r="BO2" s="89" t="s">
        <v>211</v>
      </c>
      <c r="BP2" s="16" t="s">
        <v>217</v>
      </c>
      <c r="BQ2" s="16" t="s">
        <v>226</v>
      </c>
      <c r="BR2" s="16" t="s">
        <v>32</v>
      </c>
      <c r="BS2" s="16" t="s">
        <v>121</v>
      </c>
    </row>
    <row r="3" spans="1:71" s="1" customFormat="1" ht="27" customHeight="1">
      <c r="A3" s="141" t="s">
        <v>1</v>
      </c>
      <c r="B3" s="123"/>
      <c r="C3" s="123"/>
      <c r="D3" s="123"/>
      <c r="E3" s="123"/>
      <c r="F3" s="123"/>
      <c r="G3" s="123"/>
      <c r="H3" s="123"/>
      <c r="I3" s="123" t="str">
        <f>'（单动-高速压机OP20）'!I3:O3</f>
        <v>11A 809 605</v>
      </c>
      <c r="J3" s="123"/>
      <c r="K3" s="123"/>
      <c r="L3" s="123"/>
      <c r="M3" s="123"/>
      <c r="N3" s="123"/>
      <c r="O3" s="123"/>
      <c r="P3" s="123" t="s">
        <v>2</v>
      </c>
      <c r="Q3" s="123"/>
      <c r="R3" s="123"/>
      <c r="S3" s="123"/>
      <c r="T3" s="123"/>
      <c r="U3" s="123"/>
      <c r="V3" s="123"/>
      <c r="W3" s="123" t="str">
        <f>'（单动-高速压机OP20）'!W3:AC3</f>
        <v>左侧围外板</v>
      </c>
      <c r="X3" s="123"/>
      <c r="Y3" s="123"/>
      <c r="Z3" s="123"/>
      <c r="AA3" s="123"/>
      <c r="AB3" s="123"/>
      <c r="AC3" s="123"/>
      <c r="AD3" s="123" t="s">
        <v>84</v>
      </c>
      <c r="AE3" s="123"/>
      <c r="AF3" s="123"/>
      <c r="AG3" s="123"/>
      <c r="AH3" s="123"/>
      <c r="AI3" s="123"/>
      <c r="AJ3" s="123"/>
      <c r="AK3" s="123"/>
      <c r="AL3" s="130" t="str">
        <f>'（单动-高速压机OP20）'!AL3:AR3</f>
        <v>A SUVe</v>
      </c>
      <c r="AM3" s="126"/>
      <c r="AN3" s="126"/>
      <c r="AO3" s="126"/>
      <c r="AP3" s="126"/>
      <c r="AQ3" s="126"/>
      <c r="AR3" s="127"/>
      <c r="AS3" s="123" t="s">
        <v>3</v>
      </c>
      <c r="AT3" s="123"/>
      <c r="AU3" s="123"/>
      <c r="AV3" s="123"/>
      <c r="AW3" s="123"/>
      <c r="AX3" s="123"/>
      <c r="AY3" s="123"/>
      <c r="AZ3" s="123" t="s">
        <v>243</v>
      </c>
      <c r="BA3" s="123"/>
      <c r="BB3" s="123"/>
      <c r="BC3" s="123"/>
      <c r="BD3" s="123"/>
      <c r="BE3" s="123"/>
      <c r="BF3" s="124"/>
      <c r="BH3" s="1" t="s">
        <v>87</v>
      </c>
      <c r="BI3" s="88" t="s">
        <v>233</v>
      </c>
      <c r="BJ3" s="1" t="s">
        <v>126</v>
      </c>
      <c r="BK3" s="16" t="s">
        <v>128</v>
      </c>
      <c r="BL3" s="1" t="s">
        <v>137</v>
      </c>
      <c r="BM3" s="1" t="s">
        <v>147</v>
      </c>
      <c r="BN3" s="89" t="s">
        <v>202</v>
      </c>
      <c r="BO3" s="89" t="s">
        <v>212</v>
      </c>
      <c r="BP3" s="1" t="s">
        <v>218</v>
      </c>
      <c r="BQ3" s="16" t="s">
        <v>227</v>
      </c>
      <c r="BR3" s="16" t="s">
        <v>32</v>
      </c>
      <c r="BS3" s="16" t="s">
        <v>121</v>
      </c>
    </row>
    <row r="4" spans="1:71" ht="27" customHeight="1">
      <c r="A4" s="150" t="s">
        <v>83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7"/>
      <c r="BH4" s="16" t="s">
        <v>220</v>
      </c>
      <c r="BI4" s="92" t="s">
        <v>234</v>
      </c>
      <c r="BK4" s="16" t="s">
        <v>129</v>
      </c>
      <c r="BL4" s="16" t="s">
        <v>136</v>
      </c>
      <c r="BN4" s="89" t="s">
        <v>203</v>
      </c>
      <c r="BO4" s="89" t="s">
        <v>213</v>
      </c>
      <c r="BQ4" s="16" t="s">
        <v>228</v>
      </c>
      <c r="BR4" s="16" t="s">
        <v>32</v>
      </c>
      <c r="BS4" s="16" t="s">
        <v>121</v>
      </c>
    </row>
    <row r="5" spans="1:71" ht="27" customHeight="1">
      <c r="A5" s="150" t="s">
        <v>82</v>
      </c>
      <c r="B5" s="151"/>
      <c r="C5" s="151"/>
      <c r="D5" s="151"/>
      <c r="E5" s="151"/>
      <c r="F5" s="151"/>
      <c r="G5" s="151"/>
      <c r="H5" s="152"/>
      <c r="I5" s="130" t="s">
        <v>286</v>
      </c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7"/>
      <c r="AD5" s="158" t="s">
        <v>81</v>
      </c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60"/>
      <c r="AS5" s="167" t="s">
        <v>7</v>
      </c>
      <c r="AT5" s="165"/>
      <c r="AU5" s="165"/>
      <c r="AV5" s="165"/>
      <c r="AW5" s="165"/>
      <c r="AX5" s="165"/>
      <c r="AY5" s="165"/>
      <c r="AZ5" s="165"/>
      <c r="BA5" s="165"/>
      <c r="BB5" s="165"/>
      <c r="BC5" s="165"/>
      <c r="BD5" s="165"/>
      <c r="BE5" s="165"/>
      <c r="BF5" s="166"/>
      <c r="BH5" s="16" t="s">
        <v>221</v>
      </c>
      <c r="BI5" s="92"/>
      <c r="BK5" s="16" t="s">
        <v>130</v>
      </c>
      <c r="BL5" s="1" t="s">
        <v>139</v>
      </c>
      <c r="BN5" s="89" t="s">
        <v>204</v>
      </c>
      <c r="BO5" s="89" t="s">
        <v>214</v>
      </c>
      <c r="BQ5" s="16" t="s">
        <v>229</v>
      </c>
      <c r="BR5" s="16" t="s">
        <v>32</v>
      </c>
      <c r="BS5" s="16" t="s">
        <v>121</v>
      </c>
    </row>
    <row r="6" spans="1:71" ht="27" customHeight="1">
      <c r="A6" s="150" t="s">
        <v>80</v>
      </c>
      <c r="B6" s="151"/>
      <c r="C6" s="151"/>
      <c r="D6" s="151"/>
      <c r="E6" s="151"/>
      <c r="F6" s="151"/>
      <c r="G6" s="151"/>
      <c r="H6" s="152"/>
      <c r="I6" s="130" t="s">
        <v>287</v>
      </c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7"/>
      <c r="AD6" s="167" t="s">
        <v>79</v>
      </c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8"/>
      <c r="AS6" s="167">
        <v>12</v>
      </c>
      <c r="AT6" s="165"/>
      <c r="AU6" s="165"/>
      <c r="AV6" s="165"/>
      <c r="AW6" s="165"/>
      <c r="AX6" s="165"/>
      <c r="AY6" s="165"/>
      <c r="AZ6" s="165"/>
      <c r="BA6" s="165"/>
      <c r="BB6" s="165"/>
      <c r="BC6" s="165"/>
      <c r="BD6" s="165" t="s">
        <v>124</v>
      </c>
      <c r="BE6" s="165"/>
      <c r="BF6" s="166"/>
      <c r="BH6" s="16" t="s">
        <v>222</v>
      </c>
      <c r="BK6" s="16" t="s">
        <v>131</v>
      </c>
      <c r="BL6" s="16" t="s">
        <v>140</v>
      </c>
      <c r="BN6" s="89" t="s">
        <v>205</v>
      </c>
      <c r="BO6" s="89" t="s">
        <v>215</v>
      </c>
      <c r="BQ6" s="16" t="s">
        <v>230</v>
      </c>
      <c r="BR6" s="16" t="s">
        <v>32</v>
      </c>
      <c r="BS6" s="16" t="s">
        <v>121</v>
      </c>
    </row>
    <row r="7" spans="1:71" ht="27" customHeight="1">
      <c r="A7" s="150" t="s">
        <v>78</v>
      </c>
      <c r="B7" s="151"/>
      <c r="C7" s="151"/>
      <c r="D7" s="151"/>
      <c r="E7" s="151"/>
      <c r="F7" s="151"/>
      <c r="G7" s="151"/>
      <c r="H7" s="152"/>
      <c r="I7" s="130">
        <v>39</v>
      </c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 t="s">
        <v>11</v>
      </c>
      <c r="AC7" s="127"/>
      <c r="AD7" s="167" t="s">
        <v>77</v>
      </c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8"/>
      <c r="AS7" s="167">
        <v>4</v>
      </c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 t="s">
        <v>123</v>
      </c>
      <c r="BE7" s="165"/>
      <c r="BF7" s="166"/>
      <c r="BH7" s="16" t="s">
        <v>223</v>
      </c>
      <c r="BK7" s="16" t="s">
        <v>132</v>
      </c>
      <c r="BL7" s="1" t="s">
        <v>141</v>
      </c>
      <c r="BN7" s="89" t="s">
        <v>206</v>
      </c>
      <c r="BQ7" s="16" t="s">
        <v>231</v>
      </c>
      <c r="BR7" s="16" t="s">
        <v>32</v>
      </c>
      <c r="BS7" s="16" t="s">
        <v>121</v>
      </c>
    </row>
    <row r="8" spans="1:71" ht="27" customHeight="1">
      <c r="A8" s="202" t="s">
        <v>76</v>
      </c>
      <c r="B8" s="203"/>
      <c r="C8" s="203"/>
      <c r="D8" s="203"/>
      <c r="E8" s="203"/>
      <c r="F8" s="203"/>
      <c r="G8" s="203"/>
      <c r="H8" s="203"/>
      <c r="I8" s="130">
        <v>20</v>
      </c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 t="s">
        <v>11</v>
      </c>
      <c r="AC8" s="127"/>
      <c r="AD8" s="167" t="s">
        <v>75</v>
      </c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8"/>
      <c r="AS8" s="167">
        <v>8</v>
      </c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 t="s">
        <v>122</v>
      </c>
      <c r="BE8" s="165"/>
      <c r="BF8" s="166"/>
      <c r="BH8" s="16" t="s">
        <v>224</v>
      </c>
      <c r="BL8" s="16" t="s">
        <v>142</v>
      </c>
      <c r="BN8" s="89" t="s">
        <v>207</v>
      </c>
      <c r="BQ8" s="16" t="s">
        <v>304</v>
      </c>
      <c r="BR8" s="16" t="s">
        <v>32</v>
      </c>
      <c r="BS8" s="16" t="s">
        <v>121</v>
      </c>
    </row>
    <row r="9" spans="1:71" ht="27" customHeight="1">
      <c r="A9" s="204" t="s">
        <v>74</v>
      </c>
      <c r="B9" s="205"/>
      <c r="C9" s="205"/>
      <c r="D9" s="205"/>
      <c r="E9" s="205"/>
      <c r="F9" s="205"/>
      <c r="G9" s="205"/>
      <c r="H9" s="206"/>
      <c r="I9" s="200">
        <v>1274</v>
      </c>
      <c r="J9" s="201"/>
      <c r="K9" s="201"/>
      <c r="L9" s="201"/>
      <c r="M9" s="201"/>
      <c r="N9" s="201"/>
      <c r="O9" s="201"/>
      <c r="P9" s="201"/>
      <c r="Q9" s="201"/>
      <c r="R9" s="201"/>
      <c r="S9" s="199" t="s">
        <v>246</v>
      </c>
      <c r="T9" s="199"/>
      <c r="U9" s="199"/>
      <c r="V9" s="199"/>
      <c r="W9" s="199"/>
      <c r="X9" s="199"/>
      <c r="Y9" s="199"/>
      <c r="Z9" s="199"/>
      <c r="AA9" s="199"/>
      <c r="AB9" s="126" t="s">
        <v>115</v>
      </c>
      <c r="AC9" s="127"/>
      <c r="AD9" s="167" t="s">
        <v>73</v>
      </c>
      <c r="AE9" s="165"/>
      <c r="AF9" s="165" t="s">
        <v>56</v>
      </c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8"/>
      <c r="AS9" s="167">
        <v>1200</v>
      </c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 t="s">
        <v>72</v>
      </c>
      <c r="BE9" s="165"/>
      <c r="BF9" s="166"/>
      <c r="BH9" s="16" t="s">
        <v>225</v>
      </c>
      <c r="BN9" s="89" t="s">
        <v>208</v>
      </c>
      <c r="BQ9" s="16" t="s">
        <v>87</v>
      </c>
      <c r="BR9" s="16" t="s">
        <v>32</v>
      </c>
      <c r="BS9" s="16" t="s">
        <v>121</v>
      </c>
    </row>
    <row r="10" spans="1:71" ht="27" customHeight="1">
      <c r="A10" s="190" t="s">
        <v>71</v>
      </c>
      <c r="B10" s="191"/>
      <c r="C10" s="191"/>
      <c r="D10" s="191"/>
      <c r="E10" s="191"/>
      <c r="F10" s="191"/>
      <c r="G10" s="191"/>
      <c r="H10" s="192"/>
      <c r="I10" s="200">
        <v>1350</v>
      </c>
      <c r="J10" s="201"/>
      <c r="K10" s="201"/>
      <c r="L10" s="201"/>
      <c r="M10" s="201"/>
      <c r="N10" s="201"/>
      <c r="O10" s="201"/>
      <c r="P10" s="201"/>
      <c r="Q10" s="201"/>
      <c r="R10" s="201"/>
      <c r="S10" s="199" t="s">
        <v>288</v>
      </c>
      <c r="T10" s="199"/>
      <c r="U10" s="199"/>
      <c r="V10" s="199"/>
      <c r="W10" s="199"/>
      <c r="X10" s="199"/>
      <c r="Y10" s="199"/>
      <c r="Z10" s="199"/>
      <c r="AA10" s="199"/>
      <c r="AB10" s="126" t="s">
        <v>115</v>
      </c>
      <c r="AC10" s="127"/>
      <c r="AD10" s="167" t="s">
        <v>70</v>
      </c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8"/>
      <c r="AS10" s="175" t="s">
        <v>271</v>
      </c>
      <c r="AT10" s="176"/>
      <c r="AU10" s="176"/>
      <c r="AV10" s="176"/>
      <c r="AW10" s="176"/>
      <c r="AX10" s="176"/>
      <c r="AY10" s="176"/>
      <c r="AZ10" s="176"/>
      <c r="BA10" s="176"/>
      <c r="BB10" s="176"/>
      <c r="BC10" s="176"/>
      <c r="BD10" s="165" t="s">
        <v>219</v>
      </c>
      <c r="BE10" s="165"/>
      <c r="BF10" s="166"/>
      <c r="BN10" s="89" t="s">
        <v>278</v>
      </c>
    </row>
    <row r="11" spans="1:71" ht="20.149999999999999" customHeight="1">
      <c r="A11" s="18"/>
      <c r="F11" s="2"/>
      <c r="G11" s="238">
        <v>-7</v>
      </c>
      <c r="H11" s="238"/>
      <c r="I11" s="238">
        <v>-6</v>
      </c>
      <c r="J11" s="238"/>
      <c r="K11" s="238">
        <v>-5</v>
      </c>
      <c r="L11" s="238"/>
      <c r="M11" s="238">
        <v>-4</v>
      </c>
      <c r="N11" s="238"/>
      <c r="O11" s="238">
        <v>-3</v>
      </c>
      <c r="P11" s="238"/>
      <c r="Q11" s="238">
        <v>-2</v>
      </c>
      <c r="R11" s="238"/>
      <c r="S11" s="238">
        <v>-1</v>
      </c>
      <c r="T11" s="238"/>
      <c r="U11" s="3">
        <v>0</v>
      </c>
      <c r="V11" s="238">
        <v>1</v>
      </c>
      <c r="W11" s="238"/>
      <c r="X11" s="238">
        <v>2</v>
      </c>
      <c r="Y11" s="238"/>
      <c r="Z11" s="238">
        <v>3</v>
      </c>
      <c r="AA11" s="238"/>
      <c r="AB11" s="238">
        <v>4</v>
      </c>
      <c r="AC11" s="238"/>
      <c r="AD11" s="238">
        <v>5</v>
      </c>
      <c r="AE11" s="238"/>
      <c r="AF11" s="238">
        <v>6</v>
      </c>
      <c r="AG11" s="238"/>
      <c r="AH11" s="238">
        <v>7</v>
      </c>
      <c r="AI11" s="238"/>
      <c r="AJ11" s="4"/>
      <c r="AK11" s="19"/>
      <c r="AL11" s="19"/>
      <c r="AM11" s="19"/>
      <c r="AT11" s="37"/>
      <c r="AU11" s="37" t="s">
        <v>69</v>
      </c>
      <c r="AV11" s="37"/>
      <c r="AW11" s="85"/>
      <c r="AX11" s="36" t="s">
        <v>17</v>
      </c>
      <c r="AY11" s="37" t="s">
        <v>68</v>
      </c>
      <c r="AZ11" s="37"/>
      <c r="BA11" s="36"/>
      <c r="BB11" s="85"/>
      <c r="BC11" s="36"/>
      <c r="BD11" s="37"/>
      <c r="BE11" s="37"/>
      <c r="BF11" s="79"/>
      <c r="BN11" s="89" t="s">
        <v>210</v>
      </c>
    </row>
    <row r="12" spans="1:71" ht="20.149999999999999" customHeight="1">
      <c r="A12" s="18"/>
      <c r="F12" s="5"/>
      <c r="G12" s="83"/>
      <c r="H12" s="6"/>
      <c r="I12" s="83"/>
      <c r="J12" s="6"/>
      <c r="K12" s="83"/>
      <c r="L12" s="6"/>
      <c r="M12" s="103" t="s">
        <v>32</v>
      </c>
      <c r="N12" s="99"/>
      <c r="O12" s="100"/>
      <c r="P12" s="6"/>
      <c r="Q12" s="100"/>
      <c r="R12" s="6"/>
      <c r="S12" s="83"/>
      <c r="T12" s="6"/>
      <c r="U12" s="6"/>
      <c r="V12" s="83"/>
      <c r="W12" s="6"/>
      <c r="X12" s="83"/>
      <c r="Y12" s="101"/>
      <c r="Z12" s="83"/>
      <c r="AA12" s="101"/>
      <c r="AB12" s="83"/>
      <c r="AC12" s="104" t="s">
        <v>32</v>
      </c>
      <c r="AD12" s="83"/>
      <c r="AE12" s="101"/>
      <c r="AF12" s="83"/>
      <c r="AG12" s="6"/>
      <c r="AH12" s="83"/>
      <c r="AI12" s="6"/>
      <c r="AJ12" s="5"/>
      <c r="AK12" s="19"/>
      <c r="AL12" s="19"/>
      <c r="AM12" s="19"/>
      <c r="AT12" s="20"/>
      <c r="AU12" s="20"/>
      <c r="AV12" s="20"/>
      <c r="AW12" s="72"/>
      <c r="AX12" s="103" t="s">
        <v>32</v>
      </c>
      <c r="AY12" s="20" t="s">
        <v>238</v>
      </c>
      <c r="AZ12" s="72"/>
      <c r="BA12" s="72"/>
      <c r="BB12" s="72"/>
      <c r="BC12" s="72"/>
      <c r="BD12" s="20"/>
      <c r="BE12" s="20"/>
      <c r="BF12" s="24"/>
    </row>
    <row r="13" spans="1:71" ht="20.149999999999999" customHeight="1">
      <c r="A13" s="18"/>
      <c r="B13" s="194" t="s">
        <v>86</v>
      </c>
      <c r="C13" s="194"/>
      <c r="F13" s="5"/>
      <c r="G13" s="84"/>
      <c r="H13" s="6"/>
      <c r="I13" s="83"/>
      <c r="J13" s="122" t="s">
        <v>121</v>
      </c>
      <c r="K13" s="39" t="s">
        <v>32</v>
      </c>
      <c r="L13" s="102" t="s">
        <v>32</v>
      </c>
      <c r="M13" s="103" t="s">
        <v>32</v>
      </c>
      <c r="N13" s="99" t="str">
        <f>IF(VLOOKUP($AZ$2,$BQ$2:$BT$9,4,0)=0,"",VLOOKUP($AZ$2,$BQ$2:$BT$9,4,0))</f>
        <v/>
      </c>
      <c r="O13" s="103" t="s">
        <v>32</v>
      </c>
      <c r="P13" s="102" t="s">
        <v>32</v>
      </c>
      <c r="Q13" s="100" t="str">
        <f>IF(VLOOKUP($AZ$2,$BQ$2:$BT$9,4,0)=0,"",VLOOKUP($AZ$2,$BQ$2:$BT$9,4,0))</f>
        <v/>
      </c>
      <c r="R13" s="6"/>
      <c r="S13" s="83"/>
      <c r="T13" s="6"/>
      <c r="U13" s="6"/>
      <c r="V13" s="83"/>
      <c r="W13" s="6"/>
      <c r="X13" s="83"/>
      <c r="Y13" s="101" t="str">
        <f>IF(VLOOKUP($AZ$2,$BQ$2:$BT$9,4,0)=0,"",VLOOKUP($AZ$2,$BQ$2:$BT$9,4,0))</f>
        <v/>
      </c>
      <c r="Z13" s="84" t="s">
        <v>32</v>
      </c>
      <c r="AA13" s="104" t="s">
        <v>32</v>
      </c>
      <c r="AB13" s="83" t="str">
        <f>IF(VLOOKUP($AZ$2,$BQ$2:$BT$9,4,0)=0,"",VLOOKUP($AZ$2,$BQ$2:$BT$9,4,0))</f>
        <v/>
      </c>
      <c r="AC13" s="104" t="s">
        <v>32</v>
      </c>
      <c r="AD13" s="83" t="s">
        <v>32</v>
      </c>
      <c r="AE13" s="102" t="s">
        <v>32</v>
      </c>
      <c r="AF13" s="121" t="s">
        <v>121</v>
      </c>
      <c r="AG13" s="6"/>
      <c r="AH13" s="83"/>
      <c r="AI13" s="39"/>
      <c r="AJ13" s="5"/>
      <c r="AK13" s="5"/>
      <c r="AL13" s="19"/>
      <c r="AM13" s="19"/>
      <c r="AW13" s="72"/>
      <c r="AX13" s="72"/>
      <c r="AY13" s="72"/>
      <c r="AZ13" s="72"/>
      <c r="BA13" s="72"/>
      <c r="BB13" s="72"/>
      <c r="BC13" s="72"/>
      <c r="BF13" s="25"/>
    </row>
    <row r="14" spans="1:71" ht="20.149999999999999" customHeight="1">
      <c r="A14" s="18"/>
      <c r="B14" s="194"/>
      <c r="C14" s="194"/>
      <c r="F14" s="5"/>
      <c r="G14" s="84"/>
      <c r="H14" s="6"/>
      <c r="I14" s="83"/>
      <c r="J14" s="39" t="s">
        <v>32</v>
      </c>
      <c r="K14" s="98"/>
      <c r="L14" s="6" t="str">
        <f t="shared" ref="L14:M14" si="0">IF(VLOOKUP($AZ$2,$BQ$2:$BT$9,4,0)=0,"",VLOOKUP($AZ$2,$BQ$2:$BT$9,4,0))</f>
        <v/>
      </c>
      <c r="M14" s="6" t="str">
        <f t="shared" si="0"/>
        <v/>
      </c>
      <c r="N14" s="99" t="str">
        <f>IF(VLOOKUP($AZ$2,$BQ$2:$BT$9,4,0)=0,"",VLOOKUP($AZ$2,$BQ$2:$BT$9,4,0))</f>
        <v/>
      </c>
      <c r="O14" s="100" t="str">
        <f>IF(VLOOKUP($AZ$2,$BQ$2:$BT$9,4,0)=0,"",VLOOKUP($AZ$2,$BQ$2:$BT$9,4,0))</f>
        <v/>
      </c>
      <c r="P14" s="39" t="s">
        <v>32</v>
      </c>
      <c r="Q14" s="100" t="str">
        <f>IF(VLOOKUP($AZ$2,$BQ$2:$BT$9,4,0)=0,"",VLOOKUP($AZ$2,$BQ$2:$BT$9,4,0))</f>
        <v/>
      </c>
      <c r="R14" s="6"/>
      <c r="S14" s="83"/>
      <c r="T14" s="39" t="s">
        <v>32</v>
      </c>
      <c r="U14" s="6"/>
      <c r="V14" s="84" t="s">
        <v>32</v>
      </c>
      <c r="W14" s="6"/>
      <c r="X14" s="83"/>
      <c r="Y14" s="101" t="str">
        <f>IF(VLOOKUP($AZ$2,$BQ$2:$BT$9,4,0)=0,"",VLOOKUP($AZ$2,$BQ$2:$BT$9,4,0))</f>
        <v/>
      </c>
      <c r="Z14" s="84" t="s">
        <v>32</v>
      </c>
      <c r="AA14" s="101" t="str">
        <f>IF(VLOOKUP($AZ$2,$BQ$2:$BT$9,4,0)=0,"",VLOOKUP($AZ$2,$BQ$2:$BT$9,4,0))</f>
        <v/>
      </c>
      <c r="AB14" s="83" t="str">
        <f>IF(VLOOKUP($AZ$2,$BQ$2:$BT$9,4,0)=0,"",VLOOKUP($AZ$2,$BQ$2:$BT$9,4,0))</f>
        <v/>
      </c>
      <c r="AC14" s="101" t="str">
        <f t="shared" ref="AC14:AD14" si="1">IF(VLOOKUP($AZ$2,$BQ$2:$BT$9,4,0)=0,"",VLOOKUP($AZ$2,$BQ$2:$BT$9,4,0))</f>
        <v/>
      </c>
      <c r="AD14" s="83" t="str">
        <f t="shared" si="1"/>
        <v/>
      </c>
      <c r="AE14" s="105"/>
      <c r="AF14" s="84" t="str">
        <f>IF(VLOOKUP($AZ$2,$BQ$2:$BT$9,2,0)=0,"",VLOOKUP($AZ$2,$BQ$2:$BT$9,2,0))</f>
        <v>○</v>
      </c>
      <c r="AG14" s="6"/>
      <c r="AH14" s="83"/>
      <c r="AI14" s="39"/>
      <c r="AJ14" s="5"/>
      <c r="AK14" s="5"/>
      <c r="AL14" s="19"/>
      <c r="AM14" s="19"/>
      <c r="AW14" s="72"/>
      <c r="AX14" s="72"/>
      <c r="AY14" s="72"/>
      <c r="AZ14" s="72"/>
      <c r="BA14" s="72"/>
      <c r="BB14" s="72"/>
      <c r="BC14" s="72"/>
      <c r="BF14" s="25"/>
    </row>
    <row r="15" spans="1:71" ht="20.149999999999999" customHeight="1">
      <c r="A15" s="18"/>
      <c r="B15" s="194"/>
      <c r="C15" s="194"/>
      <c r="F15" s="5"/>
      <c r="G15" s="84"/>
      <c r="H15" s="6"/>
      <c r="I15" s="83"/>
      <c r="J15" s="6"/>
      <c r="K15" s="83"/>
      <c r="L15" s="6"/>
      <c r="M15" s="6"/>
      <c r="N15" s="99"/>
      <c r="O15" s="100"/>
      <c r="P15" s="6"/>
      <c r="Q15" s="100"/>
      <c r="R15" s="6"/>
      <c r="S15" s="83"/>
      <c r="T15" s="6"/>
      <c r="U15" s="6"/>
      <c r="V15" s="83"/>
      <c r="W15" s="6"/>
      <c r="X15" s="83"/>
      <c r="Y15" s="101"/>
      <c r="Z15" s="83"/>
      <c r="AA15" s="101"/>
      <c r="AB15" s="83"/>
      <c r="AC15" s="101"/>
      <c r="AD15" s="83"/>
      <c r="AE15" s="101"/>
      <c r="AF15" s="83"/>
      <c r="AG15" s="6"/>
      <c r="AH15" s="83"/>
      <c r="AI15" s="39"/>
      <c r="AJ15" s="5"/>
      <c r="AK15" s="5"/>
      <c r="AL15" s="19"/>
      <c r="AM15" s="19"/>
      <c r="AW15" s="72"/>
      <c r="AX15" s="72"/>
      <c r="AY15" s="72"/>
      <c r="AZ15" s="72"/>
      <c r="BA15" s="72"/>
      <c r="BB15" s="72"/>
      <c r="BC15" s="72"/>
      <c r="BF15" s="25"/>
    </row>
    <row r="16" spans="1:71" ht="20.149999999999999" customHeight="1">
      <c r="A16" s="18"/>
      <c r="B16" s="194"/>
      <c r="C16" s="194"/>
      <c r="F16" s="5"/>
      <c r="G16" s="84"/>
      <c r="H16" s="6"/>
      <c r="I16" s="83"/>
      <c r="J16" s="6"/>
      <c r="K16" s="83"/>
      <c r="L16" s="6"/>
      <c r="M16" s="6"/>
      <c r="N16" s="99"/>
      <c r="O16" s="100"/>
      <c r="P16" s="102"/>
      <c r="Q16" s="100"/>
      <c r="R16" s="6"/>
      <c r="S16" s="83"/>
      <c r="T16" s="6"/>
      <c r="U16" s="6"/>
      <c r="V16" s="83"/>
      <c r="W16" s="6"/>
      <c r="X16" s="83"/>
      <c r="Y16" s="101"/>
      <c r="Z16" s="84"/>
      <c r="AA16" s="101"/>
      <c r="AB16" s="83"/>
      <c r="AC16" s="101"/>
      <c r="AD16" s="83"/>
      <c r="AE16" s="101"/>
      <c r="AF16" s="83"/>
      <c r="AG16" s="6"/>
      <c r="AH16" s="83"/>
      <c r="AI16" s="39"/>
      <c r="AJ16" s="5"/>
      <c r="AK16" s="5"/>
      <c r="AL16" s="19"/>
      <c r="AM16" s="208" t="s">
        <v>67</v>
      </c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80"/>
    </row>
    <row r="17" spans="1:58" ht="20.149999999999999" customHeight="1">
      <c r="A17" s="18"/>
      <c r="B17" s="194"/>
      <c r="C17" s="194"/>
      <c r="F17" s="5"/>
      <c r="G17" s="39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39"/>
      <c r="AJ17" s="5"/>
      <c r="AK17" s="5"/>
      <c r="AL17" s="19"/>
      <c r="AM17" s="208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80"/>
    </row>
    <row r="18" spans="1:58" ht="20.149999999999999" customHeight="1">
      <c r="A18" s="18"/>
      <c r="B18" s="194"/>
      <c r="C18" s="194"/>
      <c r="F18" s="5"/>
      <c r="G18" s="39"/>
      <c r="H18" s="6"/>
      <c r="I18" s="6"/>
      <c r="J18" s="6"/>
      <c r="K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E18" s="6"/>
      <c r="AF18" s="6"/>
      <c r="AG18" s="6"/>
      <c r="AH18" s="6"/>
      <c r="AI18" s="39"/>
      <c r="AJ18" s="5"/>
      <c r="AK18" s="5"/>
      <c r="AL18" s="19"/>
      <c r="AM18" s="208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80"/>
    </row>
    <row r="19" spans="1:58" ht="20.149999999999999" customHeight="1">
      <c r="A19" s="18"/>
      <c r="B19" s="194"/>
      <c r="C19" s="194"/>
      <c r="F19" s="5"/>
      <c r="G19" s="39"/>
      <c r="H19" s="6"/>
      <c r="I19" s="6"/>
      <c r="J19" s="6"/>
      <c r="K19" s="39"/>
      <c r="N19" s="6"/>
      <c r="O19" s="39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39"/>
      <c r="AB19" s="6"/>
      <c r="AE19" s="39"/>
      <c r="AF19" s="6"/>
      <c r="AG19" s="6"/>
      <c r="AH19" s="6"/>
      <c r="AI19" s="39"/>
      <c r="AJ19" s="5"/>
      <c r="AK19" s="5"/>
      <c r="AL19" s="19"/>
      <c r="AM19" s="193" t="s">
        <v>66</v>
      </c>
      <c r="AO19" s="26"/>
      <c r="AP19" s="20"/>
      <c r="AQ19" s="20"/>
      <c r="AR19" s="20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80"/>
    </row>
    <row r="20" spans="1:58" ht="20.149999999999999" customHeight="1">
      <c r="A20" s="18"/>
      <c r="B20" s="194"/>
      <c r="C20" s="194"/>
      <c r="F20" s="5"/>
      <c r="G20" s="39"/>
      <c r="H20" s="6"/>
      <c r="I20" s="6"/>
      <c r="J20" s="6"/>
      <c r="K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E20" s="6"/>
      <c r="AF20" s="6"/>
      <c r="AG20" s="6"/>
      <c r="AH20" s="6"/>
      <c r="AI20" s="39"/>
      <c r="AJ20" s="5"/>
      <c r="AK20" s="5"/>
      <c r="AL20" s="19"/>
      <c r="AM20" s="193"/>
      <c r="AO20" s="20"/>
      <c r="AP20" s="20"/>
      <c r="AQ20" s="20"/>
      <c r="AR20" s="20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80"/>
    </row>
    <row r="21" spans="1:58" ht="20.149999999999999" customHeight="1">
      <c r="A21" s="18"/>
      <c r="B21" s="194"/>
      <c r="C21" s="194"/>
      <c r="F21" s="5"/>
      <c r="G21" s="39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39"/>
      <c r="AJ21" s="5"/>
      <c r="AK21" s="5"/>
      <c r="AL21" s="19"/>
      <c r="AM21" s="193"/>
      <c r="AO21" s="27"/>
      <c r="AP21" s="27"/>
      <c r="AQ21" s="27"/>
      <c r="AR21" s="27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80"/>
    </row>
    <row r="22" spans="1:58" ht="20.149999999999999" customHeight="1">
      <c r="A22" s="18"/>
      <c r="B22" s="194"/>
      <c r="C22" s="194"/>
      <c r="F22" s="5"/>
      <c r="G22" s="84"/>
      <c r="H22" s="6"/>
      <c r="I22" s="83"/>
      <c r="J22" s="6"/>
      <c r="K22" s="83"/>
      <c r="L22" s="6"/>
      <c r="M22" s="6"/>
      <c r="N22" s="99"/>
      <c r="O22" s="100"/>
      <c r="P22" s="102"/>
      <c r="Q22" s="100"/>
      <c r="R22" s="6"/>
      <c r="S22" s="83"/>
      <c r="T22" s="6"/>
      <c r="U22" s="6"/>
      <c r="V22" s="83"/>
      <c r="W22" s="6"/>
      <c r="X22" s="83"/>
      <c r="Y22" s="101"/>
      <c r="Z22" s="84"/>
      <c r="AA22" s="101"/>
      <c r="AB22" s="83"/>
      <c r="AC22" s="101"/>
      <c r="AD22" s="83"/>
      <c r="AE22" s="101"/>
      <c r="AF22" s="83"/>
      <c r="AG22" s="6"/>
      <c r="AH22" s="83"/>
      <c r="AI22" s="39"/>
      <c r="AJ22" s="5"/>
      <c r="AK22" s="5"/>
      <c r="AL22" s="19"/>
      <c r="AM22" s="193"/>
      <c r="AO22" s="27"/>
      <c r="AP22" s="27"/>
      <c r="AQ22" s="27"/>
      <c r="AR22" s="27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80"/>
    </row>
    <row r="23" spans="1:58" ht="20.149999999999999" customHeight="1">
      <c r="A23" s="18"/>
      <c r="B23" s="194"/>
      <c r="C23" s="194"/>
      <c r="F23" s="5"/>
      <c r="G23" s="84"/>
      <c r="H23" s="6"/>
      <c r="I23" s="83"/>
      <c r="J23" s="6"/>
      <c r="K23" s="83"/>
      <c r="L23" s="6"/>
      <c r="M23" s="6"/>
      <c r="N23" s="99"/>
      <c r="O23" s="100"/>
      <c r="P23" s="6"/>
      <c r="Q23" s="100"/>
      <c r="R23" s="6"/>
      <c r="S23" s="83"/>
      <c r="T23" s="6"/>
      <c r="U23" s="6"/>
      <c r="V23" s="83"/>
      <c r="W23" s="6"/>
      <c r="X23" s="83"/>
      <c r="Y23" s="101"/>
      <c r="Z23" s="83"/>
      <c r="AA23" s="101"/>
      <c r="AB23" s="83"/>
      <c r="AC23" s="101"/>
      <c r="AD23" s="83"/>
      <c r="AE23" s="101"/>
      <c r="AF23" s="83"/>
      <c r="AG23" s="6"/>
      <c r="AH23" s="83"/>
      <c r="AI23" s="39"/>
      <c r="AJ23" s="5"/>
      <c r="AK23" s="5"/>
      <c r="AL23" s="19"/>
      <c r="AM23" s="193"/>
      <c r="AO23" s="27"/>
      <c r="AP23" s="27"/>
      <c r="AQ23" s="27"/>
      <c r="AR23" s="27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80"/>
    </row>
    <row r="24" spans="1:58" ht="20.149999999999999" customHeight="1">
      <c r="A24" s="18"/>
      <c r="B24" s="194"/>
      <c r="C24" s="194"/>
      <c r="F24" s="5"/>
      <c r="G24" s="84"/>
      <c r="H24" s="6"/>
      <c r="I24" s="83"/>
      <c r="J24" s="39" t="s">
        <v>32</v>
      </c>
      <c r="K24" s="98"/>
      <c r="L24" s="6" t="str">
        <f t="shared" ref="L24:O24" si="2">IF(VLOOKUP($AZ$2,$BQ$2:$BT$9,4,0)=0,"",VLOOKUP($AZ$2,$BQ$2:$BT$9,4,0))</f>
        <v/>
      </c>
      <c r="M24" s="6" t="str">
        <f t="shared" si="2"/>
        <v/>
      </c>
      <c r="N24" s="99" t="str">
        <f t="shared" si="2"/>
        <v/>
      </c>
      <c r="O24" s="100" t="str">
        <f t="shared" si="2"/>
        <v/>
      </c>
      <c r="P24" s="39" t="s">
        <v>32</v>
      </c>
      <c r="Q24" s="100" t="str">
        <f>IF(VLOOKUP($AZ$2,$BQ$2:$BT$9,4,0)=0,"",VLOOKUP($AZ$2,$BQ$2:$BT$9,4,0))</f>
        <v/>
      </c>
      <c r="R24" s="6"/>
      <c r="S24" s="83"/>
      <c r="T24" s="39" t="s">
        <v>32</v>
      </c>
      <c r="U24" s="6"/>
      <c r="V24" s="83" t="s">
        <v>32</v>
      </c>
      <c r="W24" s="6"/>
      <c r="X24" s="83"/>
      <c r="Y24" s="101" t="str">
        <f>IF(VLOOKUP($AZ$2,$BQ$2:$BT$9,4,0)=0,"",VLOOKUP($AZ$2,$BQ$2:$BT$9,4,0))</f>
        <v/>
      </c>
      <c r="Z24" s="39" t="s">
        <v>32</v>
      </c>
      <c r="AA24" s="101" t="str">
        <f t="shared" ref="AA24:AD24" si="3">IF(VLOOKUP($AZ$2,$BQ$2:$BT$9,4,0)=0,"",VLOOKUP($AZ$2,$BQ$2:$BT$9,4,0))</f>
        <v/>
      </c>
      <c r="AB24" s="83" t="str">
        <f t="shared" si="3"/>
        <v/>
      </c>
      <c r="AC24" s="101" t="str">
        <f t="shared" si="3"/>
        <v/>
      </c>
      <c r="AD24" s="83" t="str">
        <f t="shared" si="3"/>
        <v/>
      </c>
      <c r="AE24" s="101"/>
      <c r="AF24" s="83" t="s">
        <v>237</v>
      </c>
      <c r="AG24" s="6"/>
      <c r="AH24" s="83"/>
      <c r="AI24" s="39"/>
      <c r="AJ24" s="5"/>
      <c r="AK24" s="5"/>
      <c r="AL24" s="19"/>
      <c r="AM24" s="19"/>
      <c r="AO24" s="27"/>
      <c r="AP24" s="27"/>
      <c r="AQ24" s="27"/>
      <c r="AR24" s="27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80"/>
    </row>
    <row r="25" spans="1:58" ht="20.149999999999999" customHeight="1">
      <c r="A25" s="18"/>
      <c r="F25" s="5"/>
      <c r="G25" s="84"/>
      <c r="H25" s="6"/>
      <c r="I25" s="83"/>
      <c r="J25" s="122" t="s">
        <v>121</v>
      </c>
      <c r="K25" s="39" t="s">
        <v>32</v>
      </c>
      <c r="L25" s="102" t="s">
        <v>32</v>
      </c>
      <c r="M25" s="39" t="s">
        <v>32</v>
      </c>
      <c r="N25" s="99" t="str">
        <f>IF(VLOOKUP($AZ$2,$BQ$2:$BT$9,4,0)=0,"",VLOOKUP($AZ$2,$BQ$2:$BT$9,4,0))</f>
        <v/>
      </c>
      <c r="O25" s="39" t="s">
        <v>32</v>
      </c>
      <c r="P25" s="102" t="s">
        <v>32</v>
      </c>
      <c r="Q25" s="100" t="str">
        <f>IF(VLOOKUP($AZ$2,$BQ$2:$BT$9,4,0)=0,"",VLOOKUP($AZ$2,$BQ$2:$BT$9,4,0))</f>
        <v/>
      </c>
      <c r="R25" s="6"/>
      <c r="S25" s="83"/>
      <c r="T25" s="6"/>
      <c r="U25" s="6"/>
      <c r="V25" s="83"/>
      <c r="W25" s="6"/>
      <c r="X25" s="83"/>
      <c r="Y25" s="101" t="str">
        <f>IF(VLOOKUP($AZ$2,$BQ$2:$BT$9,4,0)=0,"",VLOOKUP($AZ$2,$BQ$2:$BT$9,4,0))</f>
        <v/>
      </c>
      <c r="Z25" s="39" t="s">
        <v>32</v>
      </c>
      <c r="AA25" s="102" t="s">
        <v>32</v>
      </c>
      <c r="AB25" s="83" t="str">
        <f>IF(VLOOKUP($AZ$2,$BQ$2:$BT$9,4,0)=0,"",VLOOKUP($AZ$2,$BQ$2:$BT$9,4,0))</f>
        <v/>
      </c>
      <c r="AC25" s="39" t="s">
        <v>32</v>
      </c>
      <c r="AD25" s="83" t="s">
        <v>32</v>
      </c>
      <c r="AE25" s="102" t="s">
        <v>32</v>
      </c>
      <c r="AF25" s="121" t="s">
        <v>121</v>
      </c>
      <c r="AG25" s="6"/>
      <c r="AH25" s="83"/>
      <c r="AI25" s="39"/>
      <c r="AJ25" s="5"/>
      <c r="AK25" s="5"/>
      <c r="AL25" s="19"/>
      <c r="AM25" s="19"/>
      <c r="AO25" s="27"/>
      <c r="AP25" s="27"/>
      <c r="AQ25" s="27"/>
      <c r="AR25" s="27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80"/>
    </row>
    <row r="26" spans="1:58" ht="20.149999999999999" customHeight="1">
      <c r="A26" s="18"/>
      <c r="F26" s="5"/>
      <c r="G26" s="83"/>
      <c r="H26" s="6"/>
      <c r="I26" s="83"/>
      <c r="J26" s="6"/>
      <c r="K26" s="83"/>
      <c r="L26" s="6"/>
      <c r="M26" s="39" t="s">
        <v>32</v>
      </c>
      <c r="N26" s="99"/>
      <c r="O26" s="100"/>
      <c r="P26" s="6"/>
      <c r="Q26" s="100"/>
      <c r="R26" s="6"/>
      <c r="S26" s="83"/>
      <c r="T26" s="6"/>
      <c r="U26" s="6"/>
      <c r="V26" s="83"/>
      <c r="W26" s="6"/>
      <c r="X26" s="83"/>
      <c r="Y26" s="101"/>
      <c r="Z26" s="83"/>
      <c r="AA26" s="101"/>
      <c r="AB26" s="83"/>
      <c r="AC26" s="39" t="s">
        <v>32</v>
      </c>
      <c r="AD26" s="83"/>
      <c r="AE26" s="101"/>
      <c r="AF26" s="83"/>
      <c r="AG26" s="6"/>
      <c r="AH26" s="83"/>
      <c r="AI26" s="6"/>
      <c r="AJ26" s="5"/>
      <c r="AK26" s="5"/>
      <c r="AL26" s="19"/>
      <c r="AM26" s="19"/>
      <c r="AO26" s="27"/>
      <c r="AP26" s="27"/>
      <c r="AQ26" s="27"/>
      <c r="AR26" s="27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80"/>
    </row>
    <row r="27" spans="1:58" ht="20.149999999999999" customHeight="1">
      <c r="A27" s="18"/>
      <c r="F27" s="7"/>
      <c r="G27" s="237">
        <v>-7</v>
      </c>
      <c r="H27" s="237"/>
      <c r="I27" s="237">
        <v>-6</v>
      </c>
      <c r="J27" s="237"/>
      <c r="K27" s="237">
        <v>-5</v>
      </c>
      <c r="L27" s="237"/>
      <c r="M27" s="237">
        <v>-4</v>
      </c>
      <c r="N27" s="237"/>
      <c r="O27" s="237">
        <v>-3</v>
      </c>
      <c r="P27" s="237"/>
      <c r="Q27" s="237">
        <v>-2</v>
      </c>
      <c r="R27" s="237"/>
      <c r="S27" s="237">
        <v>-1</v>
      </c>
      <c r="T27" s="237"/>
      <c r="U27" s="87">
        <v>0</v>
      </c>
      <c r="V27" s="237">
        <v>1</v>
      </c>
      <c r="W27" s="237"/>
      <c r="X27" s="237">
        <v>2</v>
      </c>
      <c r="Y27" s="237"/>
      <c r="Z27" s="237">
        <v>3</v>
      </c>
      <c r="AA27" s="237"/>
      <c r="AB27" s="237">
        <v>4</v>
      </c>
      <c r="AC27" s="237"/>
      <c r="AD27" s="237">
        <v>5</v>
      </c>
      <c r="AE27" s="237"/>
      <c r="AF27" s="237">
        <v>6</v>
      </c>
      <c r="AG27" s="237"/>
      <c r="AH27" s="237">
        <v>7</v>
      </c>
      <c r="AI27" s="237"/>
      <c r="AJ27" s="10"/>
      <c r="AK27" s="28"/>
      <c r="AL27" s="28"/>
      <c r="AM27" s="28"/>
      <c r="AN27" s="29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86"/>
    </row>
    <row r="28" spans="1:58" ht="20.149999999999999" customHeight="1">
      <c r="A28" s="31"/>
      <c r="B28" s="32"/>
      <c r="C28" s="32"/>
      <c r="D28" s="32"/>
      <c r="E28" s="32"/>
      <c r="F28" s="112"/>
      <c r="G28" s="74"/>
      <c r="H28" s="34">
        <v>-13</v>
      </c>
      <c r="I28" s="34">
        <v>-12</v>
      </c>
      <c r="J28" s="34">
        <v>-11</v>
      </c>
      <c r="K28" s="34">
        <v>-10</v>
      </c>
      <c r="L28" s="35">
        <v>-9</v>
      </c>
      <c r="M28" s="35">
        <v>-8</v>
      </c>
      <c r="N28" s="35">
        <v>-7</v>
      </c>
      <c r="O28" s="35">
        <v>-6</v>
      </c>
      <c r="P28" s="35">
        <v>-5</v>
      </c>
      <c r="Q28" s="35">
        <v>-4</v>
      </c>
      <c r="R28" s="35">
        <v>-3</v>
      </c>
      <c r="S28" s="35">
        <v>-2</v>
      </c>
      <c r="T28" s="35">
        <v>-1</v>
      </c>
      <c r="U28" s="35">
        <v>0</v>
      </c>
      <c r="V28" s="35">
        <v>1</v>
      </c>
      <c r="W28" s="35">
        <v>2</v>
      </c>
      <c r="X28" s="35">
        <v>3</v>
      </c>
      <c r="Y28" s="35">
        <v>4</v>
      </c>
      <c r="Z28" s="35">
        <v>5</v>
      </c>
      <c r="AA28" s="35">
        <v>6</v>
      </c>
      <c r="AB28" s="35">
        <v>7</v>
      </c>
      <c r="AC28" s="35">
        <v>8</v>
      </c>
      <c r="AD28" s="35">
        <v>9</v>
      </c>
      <c r="AE28" s="35">
        <v>10</v>
      </c>
      <c r="AF28" s="35">
        <v>11</v>
      </c>
      <c r="AG28" s="35">
        <v>12</v>
      </c>
      <c r="AH28" s="35">
        <v>13</v>
      </c>
      <c r="AI28" s="35"/>
      <c r="AJ28" s="35"/>
      <c r="AK28" s="113"/>
      <c r="AL28" s="114"/>
      <c r="AM28" s="114"/>
      <c r="AT28" s="20"/>
      <c r="AU28" s="20"/>
      <c r="AV28" s="20" t="s">
        <v>21</v>
      </c>
      <c r="AW28" s="20"/>
      <c r="AX28" s="20"/>
      <c r="AY28" s="20"/>
      <c r="AZ28" s="71"/>
      <c r="BA28" s="23" t="s">
        <v>64</v>
      </c>
      <c r="BB28" s="20" t="s">
        <v>239</v>
      </c>
      <c r="BC28" s="20"/>
      <c r="BD28" s="20"/>
      <c r="BF28" s="25"/>
    </row>
    <row r="29" spans="1:58" ht="20.149999999999999" customHeight="1">
      <c r="A29" s="18"/>
      <c r="F29" s="19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75"/>
      <c r="AK29" s="113"/>
      <c r="AL29" s="114"/>
      <c r="AM29" s="114"/>
      <c r="AT29" s="20"/>
      <c r="AU29" s="20"/>
      <c r="AV29" s="20"/>
      <c r="AW29" s="20"/>
      <c r="AX29" s="20"/>
      <c r="AY29" s="20"/>
      <c r="AZ29" s="71"/>
      <c r="BA29" s="103" t="s">
        <v>32</v>
      </c>
      <c r="BB29" s="20" t="s">
        <v>240</v>
      </c>
      <c r="BC29" s="20"/>
      <c r="BD29" s="20"/>
      <c r="BF29" s="25"/>
    </row>
    <row r="30" spans="1:58" ht="20.149999999999999" customHeight="1">
      <c r="A30" s="18"/>
      <c r="F30" s="5">
        <v>6</v>
      </c>
      <c r="G30" s="39"/>
      <c r="H30" s="110" t="s">
        <v>32</v>
      </c>
      <c r="I30" s="110" t="s">
        <v>32</v>
      </c>
      <c r="J30" s="110" t="s">
        <v>32</v>
      </c>
      <c r="K30" s="110" t="s">
        <v>32</v>
      </c>
      <c r="L30" s="110" t="s">
        <v>32</v>
      </c>
      <c r="M30" s="110" t="s">
        <v>32</v>
      </c>
      <c r="N30" s="110" t="s">
        <v>32</v>
      </c>
      <c r="O30" s="110" t="s">
        <v>32</v>
      </c>
      <c r="P30" s="110" t="s">
        <v>32</v>
      </c>
      <c r="Q30" s="110" t="s">
        <v>32</v>
      </c>
      <c r="R30" s="110" t="s">
        <v>32</v>
      </c>
      <c r="S30" s="110" t="s">
        <v>32</v>
      </c>
      <c r="T30" s="110" t="s">
        <v>32</v>
      </c>
      <c r="U30" s="110" t="s">
        <v>32</v>
      </c>
      <c r="V30" s="110" t="s">
        <v>32</v>
      </c>
      <c r="W30" s="110" t="s">
        <v>32</v>
      </c>
      <c r="X30" s="110" t="s">
        <v>32</v>
      </c>
      <c r="Y30" s="110" t="s">
        <v>32</v>
      </c>
      <c r="Z30" s="110" t="s">
        <v>32</v>
      </c>
      <c r="AA30" s="110" t="s">
        <v>32</v>
      </c>
      <c r="AB30" s="110" t="s">
        <v>32</v>
      </c>
      <c r="AC30" s="110" t="s">
        <v>32</v>
      </c>
      <c r="AD30" s="110" t="s">
        <v>32</v>
      </c>
      <c r="AE30" s="110" t="s">
        <v>32</v>
      </c>
      <c r="AF30" s="110" t="s">
        <v>32</v>
      </c>
      <c r="AG30" s="110" t="s">
        <v>32</v>
      </c>
      <c r="AH30" s="110" t="s">
        <v>32</v>
      </c>
      <c r="AI30" s="39"/>
      <c r="AJ30" s="75">
        <v>6</v>
      </c>
      <c r="AK30" s="115"/>
      <c r="AL30" s="114"/>
      <c r="AM30" s="114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F30" s="25"/>
    </row>
    <row r="31" spans="1:58" ht="20.149999999999999" customHeight="1">
      <c r="A31" s="18"/>
      <c r="B31" s="194" t="s">
        <v>63</v>
      </c>
      <c r="C31" s="194"/>
      <c r="F31" s="5">
        <v>5</v>
      </c>
      <c r="G31" s="39"/>
      <c r="H31" s="110" t="s">
        <v>32</v>
      </c>
      <c r="I31" s="110" t="s">
        <v>32</v>
      </c>
      <c r="J31" s="110" t="s">
        <v>32</v>
      </c>
      <c r="K31" s="110" t="s">
        <v>32</v>
      </c>
      <c r="L31" s="110" t="s">
        <v>297</v>
      </c>
      <c r="M31" s="110" t="s">
        <v>32</v>
      </c>
      <c r="N31" s="110" t="s">
        <v>32</v>
      </c>
      <c r="O31" s="110" t="s">
        <v>32</v>
      </c>
      <c r="P31" s="110" t="s">
        <v>32</v>
      </c>
      <c r="Q31" s="110" t="s">
        <v>32</v>
      </c>
      <c r="R31" s="110" t="s">
        <v>32</v>
      </c>
      <c r="S31" s="110" t="s">
        <v>32</v>
      </c>
      <c r="T31" s="110" t="s">
        <v>297</v>
      </c>
      <c r="U31" s="110" t="s">
        <v>32</v>
      </c>
      <c r="V31" s="110" t="s">
        <v>297</v>
      </c>
      <c r="W31" s="110" t="s">
        <v>32</v>
      </c>
      <c r="X31" s="110" t="s">
        <v>297</v>
      </c>
      <c r="Y31" s="110" t="s">
        <v>32</v>
      </c>
      <c r="Z31" s="110" t="s">
        <v>297</v>
      </c>
      <c r="AA31" s="110" t="s">
        <v>32</v>
      </c>
      <c r="AB31" s="110" t="s">
        <v>297</v>
      </c>
      <c r="AC31" s="110" t="s">
        <v>32</v>
      </c>
      <c r="AD31" s="110" t="s">
        <v>297</v>
      </c>
      <c r="AE31" s="110" t="s">
        <v>32</v>
      </c>
      <c r="AF31" s="110" t="s">
        <v>32</v>
      </c>
      <c r="AG31" s="110" t="s">
        <v>32</v>
      </c>
      <c r="AH31" s="110" t="s">
        <v>32</v>
      </c>
      <c r="AI31" s="39"/>
      <c r="AJ31" s="75">
        <v>5</v>
      </c>
      <c r="AK31" s="115"/>
      <c r="AL31" s="114"/>
      <c r="AM31" s="114"/>
      <c r="BF31" s="25"/>
    </row>
    <row r="32" spans="1:58" ht="20.149999999999999" customHeight="1">
      <c r="A32" s="18"/>
      <c r="B32" s="194"/>
      <c r="C32" s="194"/>
      <c r="F32" s="5">
        <v>4</v>
      </c>
      <c r="G32" s="39"/>
      <c r="H32" s="110" t="s">
        <v>32</v>
      </c>
      <c r="I32" s="110" t="s">
        <v>32</v>
      </c>
      <c r="J32" s="110" t="s">
        <v>32</v>
      </c>
      <c r="K32" s="110" t="s">
        <v>32</v>
      </c>
      <c r="L32" s="110" t="s">
        <v>32</v>
      </c>
      <c r="M32" s="110" t="s">
        <v>32</v>
      </c>
      <c r="N32" s="110" t="s">
        <v>32</v>
      </c>
      <c r="O32" s="110" t="s">
        <v>32</v>
      </c>
      <c r="P32" s="110" t="s">
        <v>32</v>
      </c>
      <c r="Q32" s="110" t="s">
        <v>32</v>
      </c>
      <c r="R32" s="110" t="s">
        <v>297</v>
      </c>
      <c r="S32" s="110" t="s">
        <v>297</v>
      </c>
      <c r="T32" s="110" t="s">
        <v>32</v>
      </c>
      <c r="U32" s="110" t="s">
        <v>32</v>
      </c>
      <c r="V32" s="110" t="s">
        <v>32</v>
      </c>
      <c r="W32" s="110" t="s">
        <v>32</v>
      </c>
      <c r="X32" s="110" t="s">
        <v>32</v>
      </c>
      <c r="Y32" s="110" t="s">
        <v>32</v>
      </c>
      <c r="Z32" s="110" t="s">
        <v>32</v>
      </c>
      <c r="AA32" s="110" t="s">
        <v>32</v>
      </c>
      <c r="AB32" s="110" t="s">
        <v>32</v>
      </c>
      <c r="AC32" s="110" t="s">
        <v>32</v>
      </c>
      <c r="AD32" s="110" t="s">
        <v>32</v>
      </c>
      <c r="AE32" s="110" t="s">
        <v>297</v>
      </c>
      <c r="AF32" s="110" t="s">
        <v>32</v>
      </c>
      <c r="AG32" s="110" t="s">
        <v>32</v>
      </c>
      <c r="AH32" s="110" t="s">
        <v>32</v>
      </c>
      <c r="AI32" s="39"/>
      <c r="AJ32" s="75">
        <v>4</v>
      </c>
      <c r="AK32" s="115"/>
      <c r="AL32" s="114"/>
      <c r="AM32" s="114"/>
      <c r="BF32" s="25"/>
    </row>
    <row r="33" spans="1:58" ht="20.149999999999999" customHeight="1">
      <c r="A33" s="18"/>
      <c r="B33" s="194"/>
      <c r="C33" s="194"/>
      <c r="F33" s="5">
        <v>3</v>
      </c>
      <c r="G33" s="39"/>
      <c r="H33" s="110" t="s">
        <v>32</v>
      </c>
      <c r="I33" s="110" t="s">
        <v>32</v>
      </c>
      <c r="J33" s="110" t="s">
        <v>32</v>
      </c>
      <c r="K33" s="110" t="s">
        <v>32</v>
      </c>
      <c r="L33" s="110" t="s">
        <v>32</v>
      </c>
      <c r="M33" s="110" t="s">
        <v>32</v>
      </c>
      <c r="N33" s="110" t="s">
        <v>32</v>
      </c>
      <c r="O33" s="110" t="s">
        <v>32</v>
      </c>
      <c r="P33" s="110" t="s">
        <v>32</v>
      </c>
      <c r="Q33" s="110" t="s">
        <v>32</v>
      </c>
      <c r="R33" s="110" t="s">
        <v>297</v>
      </c>
      <c r="S33" s="110" t="s">
        <v>32</v>
      </c>
      <c r="T33" s="110" t="s">
        <v>32</v>
      </c>
      <c r="U33" s="110" t="s">
        <v>32</v>
      </c>
      <c r="V33" s="110" t="s">
        <v>32</v>
      </c>
      <c r="W33" s="110" t="s">
        <v>32</v>
      </c>
      <c r="X33" s="110" t="s">
        <v>32</v>
      </c>
      <c r="Y33" s="110" t="s">
        <v>32</v>
      </c>
      <c r="Z33" s="110" t="s">
        <v>32</v>
      </c>
      <c r="AA33" s="110" t="s">
        <v>32</v>
      </c>
      <c r="AB33" s="110" t="s">
        <v>32</v>
      </c>
      <c r="AC33" s="110" t="s">
        <v>32</v>
      </c>
      <c r="AD33" s="110" t="s">
        <v>32</v>
      </c>
      <c r="AE33" s="110" t="s">
        <v>32</v>
      </c>
      <c r="AF33" s="110" t="s">
        <v>297</v>
      </c>
      <c r="AG33" s="110" t="s">
        <v>297</v>
      </c>
      <c r="AH33" s="110" t="s">
        <v>32</v>
      </c>
      <c r="AI33" s="39"/>
      <c r="AJ33" s="75">
        <v>3</v>
      </c>
      <c r="AK33" s="115"/>
      <c r="AL33" s="114"/>
      <c r="AM33" s="208"/>
      <c r="BF33" s="25"/>
    </row>
    <row r="34" spans="1:58" ht="20.149999999999999" customHeight="1">
      <c r="A34" s="18"/>
      <c r="B34" s="194"/>
      <c r="C34" s="194"/>
      <c r="F34" s="5">
        <v>2</v>
      </c>
      <c r="G34" s="39"/>
      <c r="H34" s="110" t="s">
        <v>32</v>
      </c>
      <c r="I34" s="110" t="s">
        <v>32</v>
      </c>
      <c r="J34" s="110" t="s">
        <v>32</v>
      </c>
      <c r="K34" s="110" t="s">
        <v>32</v>
      </c>
      <c r="L34" s="110" t="s">
        <v>32</v>
      </c>
      <c r="M34" s="110" t="s">
        <v>297</v>
      </c>
      <c r="N34" s="110" t="s">
        <v>32</v>
      </c>
      <c r="O34" s="110" t="s">
        <v>32</v>
      </c>
      <c r="P34" s="110" t="s">
        <v>32</v>
      </c>
      <c r="Q34" s="110" t="s">
        <v>297</v>
      </c>
      <c r="R34" s="110" t="s">
        <v>32</v>
      </c>
      <c r="S34" s="110" t="s">
        <v>32</v>
      </c>
      <c r="T34" s="110" t="s">
        <v>32</v>
      </c>
      <c r="U34" s="110" t="s">
        <v>297</v>
      </c>
      <c r="V34" s="110" t="s">
        <v>32</v>
      </c>
      <c r="W34" s="110" t="s">
        <v>32</v>
      </c>
      <c r="X34" s="110" t="s">
        <v>32</v>
      </c>
      <c r="Y34" s="110" t="s">
        <v>32</v>
      </c>
      <c r="Z34" s="110" t="s">
        <v>32</v>
      </c>
      <c r="AA34" s="110" t="s">
        <v>297</v>
      </c>
      <c r="AB34" s="110" t="s">
        <v>32</v>
      </c>
      <c r="AC34" s="110" t="s">
        <v>32</v>
      </c>
      <c r="AD34" s="110" t="s">
        <v>32</v>
      </c>
      <c r="AE34" s="110" t="s">
        <v>297</v>
      </c>
      <c r="AF34" s="110" t="s">
        <v>32</v>
      </c>
      <c r="AG34" s="110" t="s">
        <v>32</v>
      </c>
      <c r="AH34" s="110" t="s">
        <v>32</v>
      </c>
      <c r="AI34" s="39"/>
      <c r="AJ34" s="75">
        <v>2</v>
      </c>
      <c r="AK34" s="115"/>
      <c r="AL34" s="114"/>
      <c r="AM34" s="208"/>
      <c r="BF34" s="25"/>
    </row>
    <row r="35" spans="1:58" ht="20.149999999999999" customHeight="1">
      <c r="A35" s="18"/>
      <c r="B35" s="194"/>
      <c r="C35" s="194"/>
      <c r="F35" s="5">
        <v>1</v>
      </c>
      <c r="G35" s="39"/>
      <c r="H35" s="110" t="s">
        <v>32</v>
      </c>
      <c r="I35" s="110" t="s">
        <v>32</v>
      </c>
      <c r="J35" s="110" t="s">
        <v>32</v>
      </c>
      <c r="K35" s="110" t="s">
        <v>32</v>
      </c>
      <c r="L35" s="110" t="s">
        <v>297</v>
      </c>
      <c r="M35" s="110" t="s">
        <v>297</v>
      </c>
      <c r="N35" s="110" t="s">
        <v>32</v>
      </c>
      <c r="O35" s="110" t="s">
        <v>297</v>
      </c>
      <c r="P35" s="110" t="s">
        <v>297</v>
      </c>
      <c r="Q35" s="110" t="s">
        <v>32</v>
      </c>
      <c r="R35" s="110" t="s">
        <v>32</v>
      </c>
      <c r="S35" s="110" t="s">
        <v>32</v>
      </c>
      <c r="T35" s="110" t="s">
        <v>32</v>
      </c>
      <c r="U35" s="110" t="s">
        <v>32</v>
      </c>
      <c r="V35" s="110" t="s">
        <v>32</v>
      </c>
      <c r="W35" s="110" t="s">
        <v>32</v>
      </c>
      <c r="X35" s="110" t="s">
        <v>32</v>
      </c>
      <c r="Y35" s="110" t="s">
        <v>32</v>
      </c>
      <c r="Z35" s="110" t="s">
        <v>32</v>
      </c>
      <c r="AA35" s="110" t="s">
        <v>32</v>
      </c>
      <c r="AB35" s="110" t="s">
        <v>32</v>
      </c>
      <c r="AC35" s="110" t="s">
        <v>32</v>
      </c>
      <c r="AD35" s="110" t="s">
        <v>32</v>
      </c>
      <c r="AE35" s="110" t="s">
        <v>297</v>
      </c>
      <c r="AF35" s="110" t="s">
        <v>297</v>
      </c>
      <c r="AG35" s="110" t="s">
        <v>32</v>
      </c>
      <c r="AH35" s="110" t="s">
        <v>32</v>
      </c>
      <c r="AI35" s="39"/>
      <c r="AJ35" s="75">
        <v>1</v>
      </c>
      <c r="AK35" s="115"/>
      <c r="AL35" s="114"/>
      <c r="AM35" s="208"/>
      <c r="BF35" s="25"/>
    </row>
    <row r="36" spans="1:58" ht="20.149999999999999" customHeight="1">
      <c r="A36" s="18"/>
      <c r="B36" s="194"/>
      <c r="C36" s="194"/>
      <c r="F36" s="5">
        <v>0</v>
      </c>
      <c r="G36" s="39"/>
      <c r="H36" s="110" t="s">
        <v>32</v>
      </c>
      <c r="I36" s="110" t="s">
        <v>32</v>
      </c>
      <c r="J36" s="110" t="s">
        <v>32</v>
      </c>
      <c r="K36" s="110" t="s">
        <v>32</v>
      </c>
      <c r="L36" s="110" t="s">
        <v>32</v>
      </c>
      <c r="M36" s="110" t="s">
        <v>297</v>
      </c>
      <c r="N36" s="110" t="s">
        <v>297</v>
      </c>
      <c r="O36" s="110" t="s">
        <v>32</v>
      </c>
      <c r="P36" s="110" t="s">
        <v>32</v>
      </c>
      <c r="Q36" s="110" t="s">
        <v>32</v>
      </c>
      <c r="R36" s="110" t="s">
        <v>32</v>
      </c>
      <c r="S36" s="110" t="s">
        <v>32</v>
      </c>
      <c r="T36" s="110" t="s">
        <v>32</v>
      </c>
      <c r="U36" s="110" t="s">
        <v>32</v>
      </c>
      <c r="V36" s="110" t="s">
        <v>32</v>
      </c>
      <c r="W36" s="110" t="s">
        <v>32</v>
      </c>
      <c r="X36" s="110" t="s">
        <v>32</v>
      </c>
      <c r="Y36" s="110" t="s">
        <v>32</v>
      </c>
      <c r="Z36" s="110" t="s">
        <v>32</v>
      </c>
      <c r="AA36" s="110" t="s">
        <v>32</v>
      </c>
      <c r="AB36" s="110" t="s">
        <v>32</v>
      </c>
      <c r="AC36" s="110" t="s">
        <v>32</v>
      </c>
      <c r="AD36" s="110" t="s">
        <v>32</v>
      </c>
      <c r="AE36" s="110" t="s">
        <v>297</v>
      </c>
      <c r="AF36" s="110" t="s">
        <v>297</v>
      </c>
      <c r="AG36" s="110" t="s">
        <v>32</v>
      </c>
      <c r="AH36" s="110" t="s">
        <v>32</v>
      </c>
      <c r="AI36" s="39"/>
      <c r="AJ36" s="75">
        <v>0</v>
      </c>
      <c r="AK36" s="115"/>
      <c r="AL36" s="114"/>
      <c r="AM36" s="213"/>
      <c r="BF36" s="25"/>
    </row>
    <row r="37" spans="1:58" ht="20.149999999999999" customHeight="1">
      <c r="A37" s="18"/>
      <c r="B37" s="194"/>
      <c r="C37" s="194"/>
      <c r="F37" s="5">
        <v>-1</v>
      </c>
      <c r="G37" s="39"/>
      <c r="H37" s="110" t="s">
        <v>32</v>
      </c>
      <c r="I37" s="110" t="s">
        <v>32</v>
      </c>
      <c r="J37" s="110" t="s">
        <v>32</v>
      </c>
      <c r="K37" s="110" t="s">
        <v>32</v>
      </c>
      <c r="L37" s="110" t="s">
        <v>297</v>
      </c>
      <c r="M37" s="110" t="s">
        <v>297</v>
      </c>
      <c r="N37" s="110" t="s">
        <v>32</v>
      </c>
      <c r="O37" s="110" t="s">
        <v>297</v>
      </c>
      <c r="P37" s="110" t="s">
        <v>297</v>
      </c>
      <c r="Q37" s="110" t="s">
        <v>32</v>
      </c>
      <c r="R37" s="110" t="s">
        <v>32</v>
      </c>
      <c r="S37" s="110" t="s">
        <v>32</v>
      </c>
      <c r="T37" s="110" t="s">
        <v>32</v>
      </c>
      <c r="U37" s="110" t="s">
        <v>32</v>
      </c>
      <c r="V37" s="110" t="s">
        <v>32</v>
      </c>
      <c r="W37" s="110" t="s">
        <v>32</v>
      </c>
      <c r="X37" s="110" t="s">
        <v>32</v>
      </c>
      <c r="Y37" s="110" t="s">
        <v>32</v>
      </c>
      <c r="Z37" s="110" t="s">
        <v>32</v>
      </c>
      <c r="AA37" s="110" t="s">
        <v>297</v>
      </c>
      <c r="AB37" s="110" t="s">
        <v>32</v>
      </c>
      <c r="AC37" s="110" t="s">
        <v>32</v>
      </c>
      <c r="AD37" s="110" t="s">
        <v>32</v>
      </c>
      <c r="AE37" s="110" t="s">
        <v>32</v>
      </c>
      <c r="AF37" s="110" t="s">
        <v>297</v>
      </c>
      <c r="AG37" s="110" t="s">
        <v>32</v>
      </c>
      <c r="AH37" s="110" t="s">
        <v>32</v>
      </c>
      <c r="AI37" s="39"/>
      <c r="AJ37" s="5">
        <v>-1</v>
      </c>
      <c r="AK37" s="115"/>
      <c r="AL37" s="114"/>
      <c r="AM37" s="213"/>
      <c r="AO37" s="40"/>
      <c r="BF37" s="25"/>
    </row>
    <row r="38" spans="1:58" ht="20.149999999999999" customHeight="1">
      <c r="A38" s="18"/>
      <c r="B38" s="194"/>
      <c r="C38" s="194"/>
      <c r="F38" s="5">
        <v>-2</v>
      </c>
      <c r="G38" s="39"/>
      <c r="H38" s="110" t="s">
        <v>32</v>
      </c>
      <c r="I38" s="110" t="s">
        <v>32</v>
      </c>
      <c r="J38" s="110" t="s">
        <v>32</v>
      </c>
      <c r="K38" s="110" t="s">
        <v>32</v>
      </c>
      <c r="L38" s="110" t="s">
        <v>32</v>
      </c>
      <c r="M38" s="110" t="s">
        <v>32</v>
      </c>
      <c r="N38" s="110" t="s">
        <v>297</v>
      </c>
      <c r="O38" s="110" t="s">
        <v>32</v>
      </c>
      <c r="P38" s="110" t="s">
        <v>32</v>
      </c>
      <c r="Q38" s="110" t="s">
        <v>32</v>
      </c>
      <c r="R38" s="110" t="s">
        <v>32</v>
      </c>
      <c r="S38" s="110" t="s">
        <v>32</v>
      </c>
      <c r="T38" s="110" t="s">
        <v>297</v>
      </c>
      <c r="U38" s="110" t="s">
        <v>32</v>
      </c>
      <c r="V38" s="110" t="s">
        <v>32</v>
      </c>
      <c r="W38" s="110" t="s">
        <v>32</v>
      </c>
      <c r="X38" s="110" t="s">
        <v>32</v>
      </c>
      <c r="Y38" s="110" t="s">
        <v>32</v>
      </c>
      <c r="Z38" s="110" t="s">
        <v>32</v>
      </c>
      <c r="AA38" s="110" t="s">
        <v>32</v>
      </c>
      <c r="AB38" s="110" t="s">
        <v>32</v>
      </c>
      <c r="AC38" s="110" t="s">
        <v>32</v>
      </c>
      <c r="AD38" s="110" t="s">
        <v>297</v>
      </c>
      <c r="AE38" s="110" t="s">
        <v>32</v>
      </c>
      <c r="AF38" s="110" t="s">
        <v>32</v>
      </c>
      <c r="AG38" s="110" t="s">
        <v>32</v>
      </c>
      <c r="AH38" s="110" t="s">
        <v>32</v>
      </c>
      <c r="AI38" s="39"/>
      <c r="AJ38" s="5">
        <v>-2</v>
      </c>
      <c r="AK38" s="115"/>
      <c r="AL38" s="114"/>
      <c r="AM38" s="213"/>
      <c r="AO38" s="40"/>
      <c r="BF38" s="25"/>
    </row>
    <row r="39" spans="1:58" ht="20.149999999999999" customHeight="1">
      <c r="A39" s="18"/>
      <c r="B39" s="194"/>
      <c r="C39" s="194"/>
      <c r="F39" s="5">
        <v>-3</v>
      </c>
      <c r="G39" s="39"/>
      <c r="H39" s="110" t="s">
        <v>32</v>
      </c>
      <c r="I39" s="110" t="s">
        <v>32</v>
      </c>
      <c r="J39" s="110" t="s">
        <v>32</v>
      </c>
      <c r="K39" s="110" t="s">
        <v>32</v>
      </c>
      <c r="L39" s="110" t="s">
        <v>32</v>
      </c>
      <c r="M39" s="110" t="s">
        <v>32</v>
      </c>
      <c r="N39" s="110" t="s">
        <v>32</v>
      </c>
      <c r="O39" s="110" t="s">
        <v>32</v>
      </c>
      <c r="P39" s="110" t="s">
        <v>32</v>
      </c>
      <c r="Q39" s="110" t="s">
        <v>297</v>
      </c>
      <c r="R39" s="110" t="s">
        <v>32</v>
      </c>
      <c r="S39" s="110" t="s">
        <v>32</v>
      </c>
      <c r="T39" s="110" t="s">
        <v>32</v>
      </c>
      <c r="U39" s="110" t="s">
        <v>32</v>
      </c>
      <c r="V39" s="110" t="s">
        <v>32</v>
      </c>
      <c r="W39" s="110" t="s">
        <v>32</v>
      </c>
      <c r="X39" s="110" t="s">
        <v>32</v>
      </c>
      <c r="Y39" s="110" t="s">
        <v>32</v>
      </c>
      <c r="Z39" s="110" t="s">
        <v>32</v>
      </c>
      <c r="AA39" s="110" t="s">
        <v>297</v>
      </c>
      <c r="AB39" s="110" t="s">
        <v>297</v>
      </c>
      <c r="AC39" s="110" t="s">
        <v>32</v>
      </c>
      <c r="AD39" s="110" t="s">
        <v>32</v>
      </c>
      <c r="AE39" s="110" t="s">
        <v>32</v>
      </c>
      <c r="AF39" s="110" t="s">
        <v>32</v>
      </c>
      <c r="AG39" s="110" t="s">
        <v>32</v>
      </c>
      <c r="AH39" s="110" t="s">
        <v>32</v>
      </c>
      <c r="AI39" s="39"/>
      <c r="AJ39" s="5">
        <v>-3</v>
      </c>
      <c r="AK39" s="115"/>
      <c r="AL39" s="114"/>
      <c r="AM39" s="114"/>
      <c r="AO39" s="40"/>
      <c r="BF39" s="25"/>
    </row>
    <row r="40" spans="1:58" ht="20.149999999999999" customHeight="1">
      <c r="A40" s="18"/>
      <c r="B40" s="194"/>
      <c r="C40" s="194"/>
      <c r="F40" s="5">
        <v>-4</v>
      </c>
      <c r="G40" s="39"/>
      <c r="H40" s="110" t="s">
        <v>32</v>
      </c>
      <c r="I40" s="110" t="s">
        <v>32</v>
      </c>
      <c r="J40" s="110" t="s">
        <v>32</v>
      </c>
      <c r="K40" s="110" t="s">
        <v>32</v>
      </c>
      <c r="L40" s="110" t="s">
        <v>32</v>
      </c>
      <c r="M40" s="110" t="s">
        <v>32</v>
      </c>
      <c r="N40" s="110" t="s">
        <v>32</v>
      </c>
      <c r="O40" s="110" t="s">
        <v>32</v>
      </c>
      <c r="P40" s="110" t="s">
        <v>32</v>
      </c>
      <c r="Q40" s="110" t="s">
        <v>32</v>
      </c>
      <c r="R40" s="110" t="s">
        <v>297</v>
      </c>
      <c r="S40" s="110" t="s">
        <v>297</v>
      </c>
      <c r="T40" s="110" t="s">
        <v>297</v>
      </c>
      <c r="U40" s="110" t="s">
        <v>297</v>
      </c>
      <c r="V40" s="110" t="s">
        <v>297</v>
      </c>
      <c r="W40" s="110" t="s">
        <v>297</v>
      </c>
      <c r="X40" s="110" t="s">
        <v>297</v>
      </c>
      <c r="Y40" s="110" t="s">
        <v>297</v>
      </c>
      <c r="Z40" s="110" t="s">
        <v>32</v>
      </c>
      <c r="AA40" s="110" t="s">
        <v>32</v>
      </c>
      <c r="AB40" s="110" t="s">
        <v>32</v>
      </c>
      <c r="AC40" s="110" t="s">
        <v>32</v>
      </c>
      <c r="AD40" s="110" t="s">
        <v>32</v>
      </c>
      <c r="AE40" s="110" t="s">
        <v>32</v>
      </c>
      <c r="AF40" s="110" t="s">
        <v>32</v>
      </c>
      <c r="AG40" s="110" t="s">
        <v>32</v>
      </c>
      <c r="AH40" s="110" t="s">
        <v>32</v>
      </c>
      <c r="AI40" s="39"/>
      <c r="AJ40" s="5">
        <v>-4</v>
      </c>
      <c r="AK40" s="115"/>
      <c r="AL40" s="114"/>
      <c r="AM40" s="114"/>
      <c r="AO40" s="20"/>
      <c r="AP40" s="20"/>
      <c r="AQ40" s="20"/>
      <c r="AR40" s="20"/>
      <c r="AS40" s="218" t="s">
        <v>62</v>
      </c>
      <c r="AT40" s="218"/>
      <c r="AU40" s="218"/>
      <c r="AV40" s="218"/>
      <c r="AW40" s="218"/>
      <c r="AX40" s="218"/>
      <c r="AY40" s="218"/>
      <c r="AZ40" s="218">
        <v>48</v>
      </c>
      <c r="BA40" s="218"/>
      <c r="BB40" s="218"/>
      <c r="BC40" s="218"/>
      <c r="BD40" s="218"/>
      <c r="BE40" s="218"/>
      <c r="BF40" s="219"/>
    </row>
    <row r="41" spans="1:58" ht="20.149999999999999" customHeight="1">
      <c r="A41" s="18"/>
      <c r="B41" s="194"/>
      <c r="C41" s="194"/>
      <c r="F41" s="5">
        <v>-5</v>
      </c>
      <c r="G41" s="39"/>
      <c r="H41" s="110" t="s">
        <v>32</v>
      </c>
      <c r="I41" s="110" t="s">
        <v>32</v>
      </c>
      <c r="J41" s="110" t="s">
        <v>32</v>
      </c>
      <c r="K41" s="110" t="s">
        <v>32</v>
      </c>
      <c r="L41" s="110" t="s">
        <v>32</v>
      </c>
      <c r="M41" s="110" t="s">
        <v>32</v>
      </c>
      <c r="N41" s="110" t="s">
        <v>32</v>
      </c>
      <c r="O41" s="110" t="s">
        <v>32</v>
      </c>
      <c r="P41" s="110" t="s">
        <v>32</v>
      </c>
      <c r="Q41" s="110" t="s">
        <v>32</v>
      </c>
      <c r="R41" s="110" t="s">
        <v>32</v>
      </c>
      <c r="S41" s="110" t="s">
        <v>32</v>
      </c>
      <c r="T41" s="110" t="s">
        <v>32</v>
      </c>
      <c r="U41" s="110" t="s">
        <v>32</v>
      </c>
      <c r="V41" s="110" t="s">
        <v>32</v>
      </c>
      <c r="W41" s="110" t="s">
        <v>32</v>
      </c>
      <c r="X41" s="110" t="s">
        <v>32</v>
      </c>
      <c r="Y41" s="110" t="s">
        <v>32</v>
      </c>
      <c r="Z41" s="110" t="s">
        <v>32</v>
      </c>
      <c r="AA41" s="110" t="s">
        <v>32</v>
      </c>
      <c r="AB41" s="110" t="s">
        <v>32</v>
      </c>
      <c r="AC41" s="110" t="s">
        <v>32</v>
      </c>
      <c r="AD41" s="110" t="s">
        <v>32</v>
      </c>
      <c r="AE41" s="110" t="s">
        <v>32</v>
      </c>
      <c r="AF41" s="110" t="s">
        <v>32</v>
      </c>
      <c r="AG41" s="110" t="s">
        <v>32</v>
      </c>
      <c r="AH41" s="110" t="s">
        <v>32</v>
      </c>
      <c r="AI41" s="39"/>
      <c r="AJ41" s="5">
        <v>-5</v>
      </c>
      <c r="AK41" s="115"/>
      <c r="AL41" s="114"/>
      <c r="AM41" s="114"/>
      <c r="AO41" s="20"/>
      <c r="AP41" s="20"/>
      <c r="AQ41" s="20"/>
      <c r="AR41" s="20"/>
      <c r="AS41" s="218"/>
      <c r="AT41" s="218"/>
      <c r="AU41" s="218"/>
      <c r="AV41" s="218"/>
      <c r="AW41" s="218"/>
      <c r="AX41" s="218"/>
      <c r="AY41" s="218"/>
      <c r="AZ41" s="218"/>
      <c r="BA41" s="218"/>
      <c r="BB41" s="218"/>
      <c r="BC41" s="218"/>
      <c r="BD41" s="218"/>
      <c r="BE41" s="218"/>
      <c r="BF41" s="219"/>
    </row>
    <row r="42" spans="1:58" ht="20.149999999999999" customHeight="1">
      <c r="A42" s="18"/>
      <c r="F42" s="5">
        <v>-6</v>
      </c>
      <c r="G42" s="39"/>
      <c r="H42" s="110" t="s">
        <v>32</v>
      </c>
      <c r="I42" s="110" t="s">
        <v>32</v>
      </c>
      <c r="J42" s="110" t="s">
        <v>32</v>
      </c>
      <c r="K42" s="110" t="s">
        <v>32</v>
      </c>
      <c r="L42" s="110" t="s">
        <v>32</v>
      </c>
      <c r="M42" s="110" t="s">
        <v>32</v>
      </c>
      <c r="N42" s="110" t="s">
        <v>32</v>
      </c>
      <c r="O42" s="110" t="s">
        <v>32</v>
      </c>
      <c r="P42" s="110" t="s">
        <v>32</v>
      </c>
      <c r="Q42" s="110" t="s">
        <v>32</v>
      </c>
      <c r="R42" s="110" t="s">
        <v>32</v>
      </c>
      <c r="S42" s="110" t="s">
        <v>32</v>
      </c>
      <c r="T42" s="110" t="s">
        <v>32</v>
      </c>
      <c r="U42" s="110" t="s">
        <v>32</v>
      </c>
      <c r="V42" s="110" t="s">
        <v>32</v>
      </c>
      <c r="W42" s="110" t="s">
        <v>32</v>
      </c>
      <c r="X42" s="110" t="s">
        <v>32</v>
      </c>
      <c r="Y42" s="110" t="s">
        <v>32</v>
      </c>
      <c r="Z42" s="110" t="s">
        <v>32</v>
      </c>
      <c r="AA42" s="110" t="s">
        <v>32</v>
      </c>
      <c r="AB42" s="110" t="s">
        <v>32</v>
      </c>
      <c r="AC42" s="110" t="s">
        <v>32</v>
      </c>
      <c r="AD42" s="110" t="s">
        <v>32</v>
      </c>
      <c r="AE42" s="110" t="s">
        <v>32</v>
      </c>
      <c r="AF42" s="110" t="s">
        <v>32</v>
      </c>
      <c r="AG42" s="110" t="s">
        <v>32</v>
      </c>
      <c r="AH42" s="110" t="s">
        <v>32</v>
      </c>
      <c r="AI42" s="39"/>
      <c r="AJ42" s="5">
        <v>-6</v>
      </c>
      <c r="AK42" s="115"/>
      <c r="AL42" s="114"/>
      <c r="AM42" s="114"/>
      <c r="AO42" s="27"/>
      <c r="AP42" s="27"/>
      <c r="AQ42" s="27"/>
      <c r="AR42" s="27"/>
      <c r="AS42" s="239" t="s">
        <v>145</v>
      </c>
      <c r="AT42" s="240"/>
      <c r="AU42" s="240"/>
      <c r="AV42" s="240"/>
      <c r="AW42" s="240"/>
      <c r="AX42" s="240"/>
      <c r="AY42" s="241"/>
      <c r="AZ42" s="218">
        <v>1200</v>
      </c>
      <c r="BA42" s="218"/>
      <c r="BB42" s="218"/>
      <c r="BC42" s="218"/>
      <c r="BD42" s="218"/>
      <c r="BE42" s="218"/>
      <c r="BF42" s="219"/>
    </row>
    <row r="43" spans="1:58" ht="20.149999999999999" customHeight="1">
      <c r="A43" s="41"/>
      <c r="B43" s="29"/>
      <c r="C43" s="29"/>
      <c r="D43" s="29"/>
      <c r="E43" s="29"/>
      <c r="F43" s="42"/>
      <c r="G43" s="73"/>
      <c r="H43" s="43">
        <v>-13</v>
      </c>
      <c r="I43" s="43">
        <v>-12</v>
      </c>
      <c r="J43" s="43">
        <v>-11</v>
      </c>
      <c r="K43" s="43">
        <v>-10</v>
      </c>
      <c r="L43" s="43">
        <v>-9</v>
      </c>
      <c r="M43" s="43">
        <v>-8</v>
      </c>
      <c r="N43" s="43">
        <v>-7</v>
      </c>
      <c r="O43" s="43">
        <v>-6</v>
      </c>
      <c r="P43" s="43">
        <v>-5</v>
      </c>
      <c r="Q43" s="43">
        <v>-4</v>
      </c>
      <c r="R43" s="43">
        <v>-3</v>
      </c>
      <c r="S43" s="44">
        <v>-2</v>
      </c>
      <c r="T43" s="44">
        <v>-1</v>
      </c>
      <c r="U43" s="44">
        <v>0</v>
      </c>
      <c r="V43" s="44">
        <v>1</v>
      </c>
      <c r="W43" s="44">
        <v>2</v>
      </c>
      <c r="X43" s="44">
        <v>3</v>
      </c>
      <c r="Y43" s="44">
        <v>4</v>
      </c>
      <c r="Z43" s="44">
        <v>5</v>
      </c>
      <c r="AA43" s="44">
        <v>6</v>
      </c>
      <c r="AB43" s="44">
        <v>7</v>
      </c>
      <c r="AC43" s="44">
        <v>8</v>
      </c>
      <c r="AD43" s="44">
        <v>9</v>
      </c>
      <c r="AE43" s="44">
        <v>10</v>
      </c>
      <c r="AF43" s="44">
        <v>11</v>
      </c>
      <c r="AG43" s="44">
        <v>12</v>
      </c>
      <c r="AH43" s="44">
        <v>13</v>
      </c>
      <c r="AI43" s="44"/>
      <c r="AJ43" s="45"/>
      <c r="AK43" s="115"/>
      <c r="AL43" s="114"/>
      <c r="AM43" s="114"/>
      <c r="AN43" s="29"/>
      <c r="AO43" s="30"/>
      <c r="AP43" s="30"/>
      <c r="AQ43" s="30"/>
      <c r="AR43" s="46"/>
      <c r="AS43" s="242" t="s">
        <v>146</v>
      </c>
      <c r="AT43" s="243"/>
      <c r="AU43" s="243"/>
      <c r="AV43" s="243"/>
      <c r="AW43" s="243"/>
      <c r="AX43" s="243"/>
      <c r="AY43" s="244"/>
      <c r="AZ43" s="218"/>
      <c r="BA43" s="218"/>
      <c r="BB43" s="218"/>
      <c r="BC43" s="218"/>
      <c r="BD43" s="218"/>
      <c r="BE43" s="218"/>
      <c r="BF43" s="219"/>
    </row>
    <row r="44" spans="1:58" ht="19.25" customHeight="1">
      <c r="A44" s="47" t="s">
        <v>61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9"/>
      <c r="M44" s="49"/>
      <c r="N44" s="50"/>
      <c r="O44" s="50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50"/>
      <c r="AB44" s="49"/>
      <c r="AC44" s="51"/>
      <c r="AD44" s="52" t="s">
        <v>60</v>
      </c>
      <c r="AE44" s="53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37"/>
      <c r="AQ44" s="52"/>
      <c r="AR44" s="52"/>
      <c r="AS44" s="52"/>
      <c r="AT44" s="52"/>
      <c r="AU44" s="52"/>
      <c r="AV44" s="52"/>
      <c r="AW44" s="50"/>
      <c r="AX44" s="52"/>
      <c r="AY44" s="54"/>
      <c r="AZ44" s="32"/>
      <c r="BB44" s="22"/>
      <c r="BC44" s="55"/>
      <c r="BD44" s="55"/>
      <c r="BE44" s="55"/>
      <c r="BF44" s="56"/>
    </row>
    <row r="45" spans="1:58" ht="19.25" customHeight="1">
      <c r="A45" s="57" t="s">
        <v>59</v>
      </c>
      <c r="B45" s="50"/>
      <c r="C45" s="49"/>
      <c r="D45" s="198" t="str">
        <f>I3</f>
        <v>11A 809 605</v>
      </c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7" t="s">
        <v>135</v>
      </c>
      <c r="P45" s="197"/>
      <c r="Q45" s="197"/>
      <c r="R45" s="197"/>
      <c r="S45" s="197"/>
      <c r="T45" s="197"/>
      <c r="U45" s="197"/>
      <c r="V45" s="58"/>
      <c r="W45" s="58"/>
      <c r="X45" s="58"/>
      <c r="Y45" s="58"/>
      <c r="Z45" s="58"/>
      <c r="AA45" s="58"/>
      <c r="AB45" s="58"/>
      <c r="AC45" s="59"/>
      <c r="AD45" s="210" t="s">
        <v>252</v>
      </c>
      <c r="AE45" s="211"/>
      <c r="AF45" s="211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1"/>
      <c r="AR45" s="22"/>
      <c r="AS45" s="22"/>
      <c r="AT45" s="20"/>
      <c r="AU45" s="22"/>
      <c r="AV45" s="22"/>
      <c r="AW45" s="50"/>
      <c r="AX45" s="22"/>
      <c r="AY45" s="50"/>
      <c r="BB45" s="22"/>
      <c r="BC45" s="55"/>
      <c r="BD45" s="55"/>
      <c r="BE45" s="55"/>
      <c r="BF45" s="56"/>
    </row>
    <row r="46" spans="1:58" ht="19.25" customHeight="1">
      <c r="A46" s="60" t="s">
        <v>58</v>
      </c>
      <c r="B46" s="50"/>
      <c r="C46" s="61"/>
      <c r="D46" s="197" t="str">
        <f>I3</f>
        <v>11A 809 605</v>
      </c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 t="s">
        <v>136</v>
      </c>
      <c r="P46" s="197"/>
      <c r="Q46" s="197"/>
      <c r="R46" s="197"/>
      <c r="S46" s="197"/>
      <c r="T46" s="197"/>
      <c r="U46" s="197"/>
      <c r="V46" s="58"/>
      <c r="W46" s="58"/>
      <c r="X46" s="58"/>
      <c r="Y46" s="58"/>
      <c r="Z46" s="58"/>
      <c r="AA46" s="58"/>
      <c r="AB46" s="58"/>
      <c r="AC46" s="59"/>
      <c r="AD46" s="210"/>
      <c r="AE46" s="211"/>
      <c r="AF46" s="211"/>
      <c r="AG46" s="211"/>
      <c r="AH46" s="211"/>
      <c r="AI46" s="211"/>
      <c r="AJ46" s="211"/>
      <c r="AK46" s="211"/>
      <c r="AL46" s="211"/>
      <c r="AM46" s="211"/>
      <c r="AN46" s="211"/>
      <c r="AO46" s="211"/>
      <c r="AP46" s="211"/>
      <c r="AQ46" s="211"/>
      <c r="AR46" s="22"/>
      <c r="AS46" s="22"/>
      <c r="AT46" s="20"/>
      <c r="AU46" s="22"/>
      <c r="AV46" s="22"/>
      <c r="AW46" s="50"/>
      <c r="AX46" s="22"/>
      <c r="AY46" s="50"/>
      <c r="BB46" s="22"/>
      <c r="BC46" s="55"/>
      <c r="BD46" s="55"/>
      <c r="BE46" s="55"/>
      <c r="BF46" s="56"/>
    </row>
    <row r="47" spans="1:58" ht="19.25" customHeight="1">
      <c r="A47" s="60"/>
      <c r="B47" s="50"/>
      <c r="C47" s="61"/>
      <c r="D47" s="61"/>
      <c r="E47" s="61"/>
      <c r="F47" s="61"/>
      <c r="G47" s="61"/>
      <c r="H47" s="61"/>
      <c r="I47" s="50"/>
      <c r="J47" s="61"/>
      <c r="K47" s="61"/>
      <c r="L47" s="50"/>
      <c r="M47" s="61"/>
      <c r="N47" s="50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62"/>
      <c r="AD47" s="78"/>
      <c r="AE47" s="22"/>
      <c r="AF47" s="22"/>
      <c r="AG47" s="22"/>
      <c r="AH47" s="22"/>
      <c r="AI47" s="22"/>
      <c r="AJ47" s="20"/>
      <c r="AK47" s="22"/>
      <c r="AL47" s="22"/>
      <c r="AM47" s="22"/>
      <c r="AN47" s="22"/>
      <c r="AO47" s="22"/>
      <c r="AP47" s="22"/>
      <c r="AQ47" s="22"/>
      <c r="AR47" s="22"/>
      <c r="AS47" s="22"/>
      <c r="AT47" s="20"/>
      <c r="AU47" s="22"/>
      <c r="AV47" s="22"/>
      <c r="AW47" s="50"/>
      <c r="AX47" s="22"/>
      <c r="AY47" s="50"/>
      <c r="BB47" s="22"/>
      <c r="BC47" s="55"/>
      <c r="BD47" s="55"/>
      <c r="BE47" s="55"/>
      <c r="BF47" s="56"/>
    </row>
    <row r="48" spans="1:58" ht="19.25" customHeight="1">
      <c r="A48" s="47" t="s">
        <v>57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54"/>
      <c r="AB48" s="48"/>
      <c r="AC48" s="64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50"/>
      <c r="AT48" s="49"/>
      <c r="AU48" s="49"/>
      <c r="AV48" s="49"/>
      <c r="AW48" s="49"/>
      <c r="AX48" s="49"/>
      <c r="AY48" s="49"/>
      <c r="AZ48" s="55"/>
      <c r="BA48" s="55"/>
      <c r="BB48" s="55"/>
      <c r="BC48" s="55"/>
      <c r="BD48" s="55"/>
      <c r="BE48" s="55"/>
      <c r="BF48" s="56"/>
    </row>
    <row r="49" spans="1:58" ht="19.25" customHeight="1">
      <c r="A49" s="212" t="s">
        <v>261</v>
      </c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  <c r="AC49" s="214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50"/>
      <c r="AT49" s="49"/>
      <c r="AU49" s="49"/>
      <c r="AV49" s="49"/>
      <c r="AW49" s="49"/>
      <c r="AX49" s="49"/>
      <c r="AY49" s="49"/>
      <c r="AZ49" s="55"/>
      <c r="BA49" s="55"/>
      <c r="BB49" s="55"/>
      <c r="BC49" s="55"/>
      <c r="BD49" s="55"/>
      <c r="BE49" s="55"/>
      <c r="BF49" s="56"/>
    </row>
    <row r="50" spans="1:58" ht="19.25" customHeight="1">
      <c r="A50" s="215" t="s">
        <v>258</v>
      </c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6"/>
      <c r="AD50" s="50"/>
      <c r="AE50" s="50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50"/>
      <c r="AU50" s="50"/>
      <c r="AV50" s="50"/>
      <c r="AW50" s="50"/>
      <c r="AX50" s="50"/>
      <c r="AY50" s="50"/>
      <c r="BB50" s="55"/>
      <c r="BC50" s="55"/>
      <c r="BD50" s="55"/>
      <c r="BE50" s="55"/>
      <c r="BF50" s="56"/>
    </row>
    <row r="51" spans="1:58" ht="19.25" customHeight="1">
      <c r="A51" s="60"/>
      <c r="B51" s="27"/>
      <c r="C51" s="22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65"/>
      <c r="AD51" s="50"/>
      <c r="AE51" s="50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50"/>
      <c r="AU51" s="50"/>
      <c r="AV51" s="50"/>
      <c r="AW51" s="50"/>
      <c r="AX51" s="50"/>
      <c r="AY51" s="50"/>
      <c r="BB51" s="55"/>
      <c r="BC51" s="55"/>
      <c r="BD51" s="55"/>
      <c r="BE51" s="55"/>
      <c r="BF51" s="56"/>
    </row>
    <row r="52" spans="1:58" ht="19.25" customHeight="1">
      <c r="A52" s="66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65"/>
      <c r="AD52" s="218" t="s">
        <v>27</v>
      </c>
      <c r="AE52" s="218"/>
      <c r="AF52" s="218"/>
      <c r="AG52" s="218"/>
      <c r="AH52" s="218"/>
      <c r="AI52" s="218"/>
      <c r="AJ52" s="218"/>
      <c r="AK52" s="218"/>
      <c r="AL52" s="218" t="s">
        <v>270</v>
      </c>
      <c r="AM52" s="218"/>
      <c r="AN52" s="218"/>
      <c r="AO52" s="218"/>
      <c r="AP52" s="218"/>
      <c r="AQ52" s="218"/>
      <c r="AR52" s="218"/>
      <c r="AS52" s="218" t="s">
        <v>28</v>
      </c>
      <c r="AT52" s="218"/>
      <c r="AU52" s="218"/>
      <c r="AV52" s="218"/>
      <c r="AW52" s="218"/>
      <c r="AX52" s="218"/>
      <c r="AY52" s="218"/>
      <c r="AZ52" s="231" t="s">
        <v>271</v>
      </c>
      <c r="BA52" s="232"/>
      <c r="BB52" s="232"/>
      <c r="BC52" s="232"/>
      <c r="BD52" s="232"/>
      <c r="BE52" s="232" t="s">
        <v>55</v>
      </c>
      <c r="BF52" s="235"/>
    </row>
    <row r="53" spans="1:58" ht="19.25" customHeight="1">
      <c r="A53" s="67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6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8"/>
      <c r="AY53" s="218"/>
      <c r="AZ53" s="233"/>
      <c r="BA53" s="234"/>
      <c r="BB53" s="234"/>
      <c r="BC53" s="234"/>
      <c r="BD53" s="234"/>
      <c r="BE53" s="234"/>
      <c r="BF53" s="236"/>
    </row>
    <row r="54" spans="1:58" s="20" customFormat="1" ht="27" customHeight="1" thickBot="1">
      <c r="A54" s="11"/>
      <c r="B54" s="12" t="s">
        <v>54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2" t="s">
        <v>53</v>
      </c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2" t="s">
        <v>52</v>
      </c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4"/>
      <c r="BA54" s="14"/>
      <c r="BB54" s="14"/>
      <c r="BC54" s="14"/>
      <c r="BD54" s="13"/>
      <c r="BE54" s="13"/>
      <c r="BF54" s="15"/>
    </row>
    <row r="55" spans="1:58">
      <c r="A55" s="1" t="s">
        <v>263</v>
      </c>
    </row>
  </sheetData>
  <protectedRanges>
    <protectedRange sqref="AZ1:BF3 I3 W3 AL3 I5:AA8 I9:I10 AS5:BC9 AZ40 AZ42 AL52 AZ52 AD44:BF51 AX12 BA29" name="区域1"/>
    <protectedRange sqref="AS10" name="区域3"/>
    <protectedRange sqref="H12:AH26" name="区域1_5"/>
    <protectedRange sqref="H30:AH42" name="区域1_2"/>
  </protectedRanges>
  <mergeCells count="104">
    <mergeCell ref="AD46:AQ46"/>
    <mergeCell ref="AD45:AQ45"/>
    <mergeCell ref="AS42:AY42"/>
    <mergeCell ref="AS43:AY43"/>
    <mergeCell ref="A6:H6"/>
    <mergeCell ref="A10:H10"/>
    <mergeCell ref="A9:H9"/>
    <mergeCell ref="Z27:AA27"/>
    <mergeCell ref="AB27:AC27"/>
    <mergeCell ref="AD27:AE27"/>
    <mergeCell ref="A8:H8"/>
    <mergeCell ref="I8:AA8"/>
    <mergeCell ref="AB8:AC8"/>
    <mergeCell ref="AD8:AR8"/>
    <mergeCell ref="S11:T11"/>
    <mergeCell ref="G11:H11"/>
    <mergeCell ref="I11:J11"/>
    <mergeCell ref="K11:L11"/>
    <mergeCell ref="M11:N11"/>
    <mergeCell ref="O11:P11"/>
    <mergeCell ref="Q11:R11"/>
    <mergeCell ref="O46:U46"/>
    <mergeCell ref="D45:N45"/>
    <mergeCell ref="D46:N46"/>
    <mergeCell ref="AS8:BC8"/>
    <mergeCell ref="AZ40:BF41"/>
    <mergeCell ref="I9:R9"/>
    <mergeCell ref="S9:AA9"/>
    <mergeCell ref="AB9:AC9"/>
    <mergeCell ref="I10:R10"/>
    <mergeCell ref="S10:AA10"/>
    <mergeCell ref="AB10:AC10"/>
    <mergeCell ref="AS9:BC9"/>
    <mergeCell ref="AS10:BC10"/>
    <mergeCell ref="AM33:AM35"/>
    <mergeCell ref="AM36:AM38"/>
    <mergeCell ref="AZ42:BF43"/>
    <mergeCell ref="BD9:BF9"/>
    <mergeCell ref="BD10:BF10"/>
    <mergeCell ref="I5:AA5"/>
    <mergeCell ref="AB5:AC5"/>
    <mergeCell ref="I6:AA6"/>
    <mergeCell ref="AB6:AC6"/>
    <mergeCell ref="AD6:AR6"/>
    <mergeCell ref="A7:H7"/>
    <mergeCell ref="AD5:AR5"/>
    <mergeCell ref="BD5:BF5"/>
    <mergeCell ref="BD6:BF6"/>
    <mergeCell ref="BD7:BF7"/>
    <mergeCell ref="BD8:BF8"/>
    <mergeCell ref="V11:W11"/>
    <mergeCell ref="AF11:AG11"/>
    <mergeCell ref="X11:Y11"/>
    <mergeCell ref="Z11:AA11"/>
    <mergeCell ref="AB11:AC11"/>
    <mergeCell ref="AD11:AE11"/>
    <mergeCell ref="AD10:AR10"/>
    <mergeCell ref="AD9:AR9"/>
    <mergeCell ref="AH11:AI11"/>
    <mergeCell ref="AS5:BC5"/>
    <mergeCell ref="A1:AR2"/>
    <mergeCell ref="AS1:AY1"/>
    <mergeCell ref="AZ1:BF1"/>
    <mergeCell ref="AS2:AY2"/>
    <mergeCell ref="AZ2:BF2"/>
    <mergeCell ref="I7:AA7"/>
    <mergeCell ref="AB7:AC7"/>
    <mergeCell ref="AD7:AR7"/>
    <mergeCell ref="I3:O3"/>
    <mergeCell ref="P3:V3"/>
    <mergeCell ref="W3:AC3"/>
    <mergeCell ref="AD3:AK3"/>
    <mergeCell ref="A4:BF4"/>
    <mergeCell ref="A5:H5"/>
    <mergeCell ref="AL3:AR3"/>
    <mergeCell ref="AS3:AY3"/>
    <mergeCell ref="AZ3:BF3"/>
    <mergeCell ref="A3:H3"/>
    <mergeCell ref="AS6:BC6"/>
    <mergeCell ref="AS7:BC7"/>
    <mergeCell ref="AD52:AK53"/>
    <mergeCell ref="AL52:AR53"/>
    <mergeCell ref="AS52:AY53"/>
    <mergeCell ref="AZ52:BD53"/>
    <mergeCell ref="BE52:BF53"/>
    <mergeCell ref="B13:C24"/>
    <mergeCell ref="B31:C41"/>
    <mergeCell ref="AS40:AY41"/>
    <mergeCell ref="AM16:AM18"/>
    <mergeCell ref="AM19:AM23"/>
    <mergeCell ref="G27:H27"/>
    <mergeCell ref="I27:J27"/>
    <mergeCell ref="K27:L27"/>
    <mergeCell ref="M27:N27"/>
    <mergeCell ref="O27:P27"/>
    <mergeCell ref="AH27:AI27"/>
    <mergeCell ref="S27:T27"/>
    <mergeCell ref="V27:W27"/>
    <mergeCell ref="Q27:R27"/>
    <mergeCell ref="AF27:AG27"/>
    <mergeCell ref="X27:Y27"/>
    <mergeCell ref="A49:AC49"/>
    <mergeCell ref="A50:AC50"/>
    <mergeCell ref="O45:U45"/>
  </mergeCells>
  <phoneticPr fontId="2" type="noConversion"/>
  <conditionalFormatting sqref="N18">
    <cfRule type="expression" dxfId="70" priority="16">
      <formula>AND($AZ$2&lt;&gt;"4-100")</formula>
    </cfRule>
  </conditionalFormatting>
  <conditionalFormatting sqref="N19">
    <cfRule type="expression" dxfId="69" priority="13">
      <formula>AND($AZ$2&lt;&gt;"4-100")</formula>
    </cfRule>
  </conditionalFormatting>
  <conditionalFormatting sqref="N20">
    <cfRule type="expression" dxfId="68" priority="12">
      <formula>AND($AZ$2&lt;&gt;"4-100")</formula>
    </cfRule>
  </conditionalFormatting>
  <conditionalFormatting sqref="O18:R18">
    <cfRule type="expression" dxfId="67" priority="15">
      <formula>AND($AZ$2&lt;&gt;"4-100")</formula>
    </cfRule>
  </conditionalFormatting>
  <conditionalFormatting sqref="O20:R20">
    <cfRule type="expression" dxfId="66" priority="11">
      <formula>AND($AZ$2&lt;&gt;"4-100")</formula>
    </cfRule>
  </conditionalFormatting>
  <conditionalFormatting sqref="S18">
    <cfRule type="expression" dxfId="65" priority="14">
      <formula>AND($AZ$2&lt;&gt;"4-100")</formula>
    </cfRule>
  </conditionalFormatting>
  <conditionalFormatting sqref="S19">
    <cfRule type="expression" dxfId="64" priority="9">
      <formula>AND($AZ$2&lt;&gt;"4-100")</formula>
    </cfRule>
  </conditionalFormatting>
  <conditionalFormatting sqref="S20">
    <cfRule type="expression" dxfId="63" priority="10">
      <formula>AND($AZ$2&lt;&gt;"4-100")</formula>
    </cfRule>
  </conditionalFormatting>
  <conditionalFormatting sqref="W18">
    <cfRule type="expression" dxfId="62" priority="8">
      <formula>AND($AZ$2&lt;&gt;"4-100")</formula>
    </cfRule>
  </conditionalFormatting>
  <conditionalFormatting sqref="W19">
    <cfRule type="expression" dxfId="61" priority="5">
      <formula>AND($AZ$2&lt;&gt;"4-100")</formula>
    </cfRule>
  </conditionalFormatting>
  <conditionalFormatting sqref="W20">
    <cfRule type="expression" dxfId="60" priority="4">
      <formula>AND($AZ$2&lt;&gt;"4-100")</formula>
    </cfRule>
  </conditionalFormatting>
  <conditionalFormatting sqref="X18:AA18">
    <cfRule type="expression" dxfId="59" priority="7">
      <formula>AND($AZ$2&lt;&gt;"4-100")</formula>
    </cfRule>
  </conditionalFormatting>
  <conditionalFormatting sqref="X20:AA20">
    <cfRule type="expression" dxfId="58" priority="3">
      <formula>AND($AZ$2&lt;&gt;"4-100")</formula>
    </cfRule>
  </conditionalFormatting>
  <conditionalFormatting sqref="AB18">
    <cfRule type="expression" dxfId="57" priority="6">
      <formula>AND($AZ$2&lt;&gt;"4-100")</formula>
    </cfRule>
  </conditionalFormatting>
  <conditionalFormatting sqref="AB19">
    <cfRule type="expression" dxfId="56" priority="1">
      <formula>AND($AZ$2&lt;&gt;"4-100")</formula>
    </cfRule>
  </conditionalFormatting>
  <conditionalFormatting sqref="AB20">
    <cfRule type="expression" dxfId="55" priority="2">
      <formula>AND($AZ$2&lt;&gt;"4-100")</formula>
    </cfRule>
  </conditionalFormatting>
  <dataValidations count="9">
    <dataValidation type="list" allowBlank="1" showInputMessage="1" showErrorMessage="1" sqref="AZ2:BF2" xr:uid="{00000000-0002-0000-0100-000000000000}">
      <formula1>$BH$2:$BH$9</formula1>
    </dataValidation>
    <dataValidation type="list" allowBlank="1" showInputMessage="1" showErrorMessage="1" sqref="AS5:BC5" xr:uid="{00000000-0002-0000-0100-000001000000}">
      <formula1>$BJ$2:$BJ$3</formula1>
    </dataValidation>
    <dataValidation type="list" allowBlank="1" showInputMessage="1" showErrorMessage="1" sqref="AZ3:BF3" xr:uid="{00000000-0002-0000-0100-000002000000}">
      <formula1>$BK$2:$BK$7</formula1>
    </dataValidation>
    <dataValidation type="list" allowBlank="1" showInputMessage="1" showErrorMessage="1" sqref="O45:U46" xr:uid="{00000000-0002-0000-0100-000003000000}">
      <formula1>$BL$2:$BL$8</formula1>
    </dataValidation>
    <dataValidation type="list" allowBlank="1" showInputMessage="1" showErrorMessage="1" sqref="AS43:AY43" xr:uid="{00000000-0002-0000-0100-000004000000}">
      <formula1>$BM$2:$BM$4</formula1>
    </dataValidation>
    <dataValidation type="list" allowBlank="1" showInputMessage="1" showErrorMessage="1" sqref="I6:AA6" xr:uid="{00000000-0002-0000-0100-000005000000}">
      <formula1>$BN$2:$BN$11</formula1>
    </dataValidation>
    <dataValidation type="list" allowBlank="1" showInputMessage="1" showErrorMessage="1" sqref="AL52:AR53" xr:uid="{00000000-0002-0000-0100-000006000000}">
      <formula1>$BO$2:$BO$6</formula1>
    </dataValidation>
    <dataValidation type="list" allowBlank="1" showInputMessage="1" showErrorMessage="1" sqref="BD10:BF10" xr:uid="{00000000-0002-0000-0100-000007000000}">
      <formula1>$BP$2:$BP$3</formula1>
    </dataValidation>
    <dataValidation type="list" allowBlank="1" showInputMessage="1" showErrorMessage="1" sqref="H30:AH42" xr:uid="{00000000-0002-0000-0100-000008000000}">
      <formula1>$BS$2:$BS$4</formula1>
    </dataValidation>
  </dataValidations>
  <printOptions horizontalCentered="1" verticalCentered="1"/>
  <pageMargins left="0.35433070866141736" right="0.35433070866141736" top="0.43307086614173229" bottom="0.47244094488188981" header="0.31496062992125984" footer="0.27559055118110237"/>
  <pageSetup paperSize="9" scale="6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S55"/>
  <sheetViews>
    <sheetView view="pageBreakPreview" zoomScale="80" zoomScaleNormal="100" zoomScaleSheetLayoutView="80" workbookViewId="0">
      <selection activeCell="AS5" sqref="AS5:BC5"/>
    </sheetView>
  </sheetViews>
  <sheetFormatPr defaultRowHeight="16.5"/>
  <cols>
    <col min="1" max="58" width="2.6328125" style="16" customWidth="1"/>
    <col min="59" max="63" width="9" style="16"/>
    <col min="64" max="64" width="16.1796875" style="16" bestFit="1" customWidth="1"/>
    <col min="65" max="65" width="15" style="16" bestFit="1" customWidth="1"/>
    <col min="66" max="257" width="9" style="16"/>
    <col min="258" max="313" width="2.08984375" style="16" customWidth="1"/>
    <col min="314" max="513" width="9" style="16"/>
    <col min="514" max="569" width="2.08984375" style="16" customWidth="1"/>
    <col min="570" max="769" width="9" style="16"/>
    <col min="770" max="825" width="2.08984375" style="16" customWidth="1"/>
    <col min="826" max="1025" width="9" style="16"/>
    <col min="1026" max="1081" width="2.08984375" style="16" customWidth="1"/>
    <col min="1082" max="1281" width="9" style="16"/>
    <col min="1282" max="1337" width="2.08984375" style="16" customWidth="1"/>
    <col min="1338" max="1537" width="9" style="16"/>
    <col min="1538" max="1593" width="2.08984375" style="16" customWidth="1"/>
    <col min="1594" max="1793" width="9" style="16"/>
    <col min="1794" max="1849" width="2.08984375" style="16" customWidth="1"/>
    <col min="1850" max="2049" width="9" style="16"/>
    <col min="2050" max="2105" width="2.08984375" style="16" customWidth="1"/>
    <col min="2106" max="2305" width="9" style="16"/>
    <col min="2306" max="2361" width="2.08984375" style="16" customWidth="1"/>
    <col min="2362" max="2561" width="9" style="16"/>
    <col min="2562" max="2617" width="2.08984375" style="16" customWidth="1"/>
    <col min="2618" max="2817" width="9" style="16"/>
    <col min="2818" max="2873" width="2.08984375" style="16" customWidth="1"/>
    <col min="2874" max="3073" width="9" style="16"/>
    <col min="3074" max="3129" width="2.08984375" style="16" customWidth="1"/>
    <col min="3130" max="3329" width="9" style="16"/>
    <col min="3330" max="3385" width="2.08984375" style="16" customWidth="1"/>
    <col min="3386" max="3585" width="9" style="16"/>
    <col min="3586" max="3641" width="2.08984375" style="16" customWidth="1"/>
    <col min="3642" max="3841" width="9" style="16"/>
    <col min="3842" max="3897" width="2.08984375" style="16" customWidth="1"/>
    <col min="3898" max="4097" width="9" style="16"/>
    <col min="4098" max="4153" width="2.08984375" style="16" customWidth="1"/>
    <col min="4154" max="4353" width="9" style="16"/>
    <col min="4354" max="4409" width="2.08984375" style="16" customWidth="1"/>
    <col min="4410" max="4609" width="9" style="16"/>
    <col min="4610" max="4665" width="2.08984375" style="16" customWidth="1"/>
    <col min="4666" max="4865" width="9" style="16"/>
    <col min="4866" max="4921" width="2.08984375" style="16" customWidth="1"/>
    <col min="4922" max="5121" width="9" style="16"/>
    <col min="5122" max="5177" width="2.08984375" style="16" customWidth="1"/>
    <col min="5178" max="5377" width="9" style="16"/>
    <col min="5378" max="5433" width="2.08984375" style="16" customWidth="1"/>
    <col min="5434" max="5633" width="9" style="16"/>
    <col min="5634" max="5689" width="2.08984375" style="16" customWidth="1"/>
    <col min="5690" max="5889" width="9" style="16"/>
    <col min="5890" max="5945" width="2.08984375" style="16" customWidth="1"/>
    <col min="5946" max="6145" width="9" style="16"/>
    <col min="6146" max="6201" width="2.08984375" style="16" customWidth="1"/>
    <col min="6202" max="6401" width="9" style="16"/>
    <col min="6402" max="6457" width="2.08984375" style="16" customWidth="1"/>
    <col min="6458" max="6657" width="9" style="16"/>
    <col min="6658" max="6713" width="2.08984375" style="16" customWidth="1"/>
    <col min="6714" max="6913" width="9" style="16"/>
    <col min="6914" max="6969" width="2.08984375" style="16" customWidth="1"/>
    <col min="6970" max="7169" width="9" style="16"/>
    <col min="7170" max="7225" width="2.08984375" style="16" customWidth="1"/>
    <col min="7226" max="7425" width="9" style="16"/>
    <col min="7426" max="7481" width="2.08984375" style="16" customWidth="1"/>
    <col min="7482" max="7681" width="9" style="16"/>
    <col min="7682" max="7737" width="2.08984375" style="16" customWidth="1"/>
    <col min="7738" max="7937" width="9" style="16"/>
    <col min="7938" max="7993" width="2.08984375" style="16" customWidth="1"/>
    <col min="7994" max="8193" width="9" style="16"/>
    <col min="8194" max="8249" width="2.08984375" style="16" customWidth="1"/>
    <col min="8250" max="8449" width="9" style="16"/>
    <col min="8450" max="8505" width="2.08984375" style="16" customWidth="1"/>
    <col min="8506" max="8705" width="9" style="16"/>
    <col min="8706" max="8761" width="2.08984375" style="16" customWidth="1"/>
    <col min="8762" max="8961" width="9" style="16"/>
    <col min="8962" max="9017" width="2.08984375" style="16" customWidth="1"/>
    <col min="9018" max="9217" width="9" style="16"/>
    <col min="9218" max="9273" width="2.08984375" style="16" customWidth="1"/>
    <col min="9274" max="9473" width="9" style="16"/>
    <col min="9474" max="9529" width="2.08984375" style="16" customWidth="1"/>
    <col min="9530" max="9729" width="9" style="16"/>
    <col min="9730" max="9785" width="2.08984375" style="16" customWidth="1"/>
    <col min="9786" max="9985" width="9" style="16"/>
    <col min="9986" max="10041" width="2.08984375" style="16" customWidth="1"/>
    <col min="10042" max="10241" width="9" style="16"/>
    <col min="10242" max="10297" width="2.08984375" style="16" customWidth="1"/>
    <col min="10298" max="10497" width="9" style="16"/>
    <col min="10498" max="10553" width="2.08984375" style="16" customWidth="1"/>
    <col min="10554" max="10753" width="9" style="16"/>
    <col min="10754" max="10809" width="2.08984375" style="16" customWidth="1"/>
    <col min="10810" max="11009" width="9" style="16"/>
    <col min="11010" max="11065" width="2.08984375" style="16" customWidth="1"/>
    <col min="11066" max="11265" width="9" style="16"/>
    <col min="11266" max="11321" width="2.08984375" style="16" customWidth="1"/>
    <col min="11322" max="11521" width="9" style="16"/>
    <col min="11522" max="11577" width="2.08984375" style="16" customWidth="1"/>
    <col min="11578" max="11777" width="9" style="16"/>
    <col min="11778" max="11833" width="2.08984375" style="16" customWidth="1"/>
    <col min="11834" max="12033" width="9" style="16"/>
    <col min="12034" max="12089" width="2.08984375" style="16" customWidth="1"/>
    <col min="12090" max="12289" width="9" style="16"/>
    <col min="12290" max="12345" width="2.08984375" style="16" customWidth="1"/>
    <col min="12346" max="12545" width="9" style="16"/>
    <col min="12546" max="12601" width="2.08984375" style="16" customWidth="1"/>
    <col min="12602" max="12801" width="9" style="16"/>
    <col min="12802" max="12857" width="2.08984375" style="16" customWidth="1"/>
    <col min="12858" max="13057" width="9" style="16"/>
    <col min="13058" max="13113" width="2.08984375" style="16" customWidth="1"/>
    <col min="13114" max="13313" width="9" style="16"/>
    <col min="13314" max="13369" width="2.08984375" style="16" customWidth="1"/>
    <col min="13370" max="13569" width="9" style="16"/>
    <col min="13570" max="13625" width="2.08984375" style="16" customWidth="1"/>
    <col min="13626" max="13825" width="9" style="16"/>
    <col min="13826" max="13881" width="2.08984375" style="16" customWidth="1"/>
    <col min="13882" max="14081" width="9" style="16"/>
    <col min="14082" max="14137" width="2.08984375" style="16" customWidth="1"/>
    <col min="14138" max="14337" width="9" style="16"/>
    <col min="14338" max="14393" width="2.08984375" style="16" customWidth="1"/>
    <col min="14394" max="14593" width="9" style="16"/>
    <col min="14594" max="14649" width="2.08984375" style="16" customWidth="1"/>
    <col min="14650" max="14849" width="9" style="16"/>
    <col min="14850" max="14905" width="2.08984375" style="16" customWidth="1"/>
    <col min="14906" max="15105" width="9" style="16"/>
    <col min="15106" max="15161" width="2.08984375" style="16" customWidth="1"/>
    <col min="15162" max="15361" width="9" style="16"/>
    <col min="15362" max="15417" width="2.08984375" style="16" customWidth="1"/>
    <col min="15418" max="15617" width="9" style="16"/>
    <col min="15618" max="15673" width="2.08984375" style="16" customWidth="1"/>
    <col min="15674" max="15873" width="9" style="16"/>
    <col min="15874" max="15929" width="2.08984375" style="16" customWidth="1"/>
    <col min="15930" max="16129" width="9" style="16"/>
    <col min="16130" max="16185" width="2.08984375" style="16" customWidth="1"/>
    <col min="16186" max="16383" width="9" style="16"/>
    <col min="16384" max="16384" width="8.90625" style="16" customWidth="1"/>
  </cols>
  <sheetData>
    <row r="1" spans="1:71" ht="27" customHeight="1">
      <c r="A1" s="131" t="s">
        <v>262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3"/>
      <c r="AS1" s="137" t="s">
        <v>0</v>
      </c>
      <c r="AT1" s="138"/>
      <c r="AU1" s="138"/>
      <c r="AV1" s="138"/>
      <c r="AW1" s="138"/>
      <c r="AX1" s="138"/>
      <c r="AY1" s="138"/>
      <c r="AZ1" s="143">
        <v>1.2</v>
      </c>
      <c r="BA1" s="144"/>
      <c r="BB1" s="144"/>
      <c r="BC1" s="144"/>
      <c r="BD1" s="144"/>
      <c r="BE1" s="144"/>
      <c r="BF1" s="145"/>
    </row>
    <row r="2" spans="1:71" ht="27" customHeight="1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6"/>
      <c r="AS2" s="127" t="s">
        <v>85</v>
      </c>
      <c r="AT2" s="123"/>
      <c r="AU2" s="123"/>
      <c r="AV2" s="123"/>
      <c r="AW2" s="123"/>
      <c r="AX2" s="123"/>
      <c r="AY2" s="123"/>
      <c r="AZ2" s="146" t="s">
        <v>303</v>
      </c>
      <c r="BA2" s="147"/>
      <c r="BB2" s="147"/>
      <c r="BC2" s="147"/>
      <c r="BD2" s="147"/>
      <c r="BE2" s="147"/>
      <c r="BF2" s="148"/>
      <c r="BH2" s="16" t="s">
        <v>304</v>
      </c>
      <c r="BI2" s="88" t="s">
        <v>111</v>
      </c>
      <c r="BJ2" s="16" t="s">
        <v>125</v>
      </c>
      <c r="BK2" s="16" t="s">
        <v>127</v>
      </c>
      <c r="BL2" s="16" t="s">
        <v>138</v>
      </c>
      <c r="BM2" s="16" t="s">
        <v>146</v>
      </c>
      <c r="BN2" s="89" t="s">
        <v>201</v>
      </c>
      <c r="BO2" s="89" t="s">
        <v>211</v>
      </c>
      <c r="BP2" s="16" t="s">
        <v>217</v>
      </c>
      <c r="BQ2" s="16" t="s">
        <v>226</v>
      </c>
      <c r="BR2" s="16" t="s">
        <v>32</v>
      </c>
      <c r="BS2" s="16" t="s">
        <v>121</v>
      </c>
    </row>
    <row r="3" spans="1:71" s="1" customFormat="1" ht="27" customHeight="1">
      <c r="A3" s="141" t="s">
        <v>1</v>
      </c>
      <c r="B3" s="123"/>
      <c r="C3" s="123"/>
      <c r="D3" s="123"/>
      <c r="E3" s="123"/>
      <c r="F3" s="123"/>
      <c r="G3" s="123"/>
      <c r="H3" s="123"/>
      <c r="I3" s="123" t="str">
        <f>'（单动-高速压机OP20）'!I3:O3</f>
        <v>11A 809 605</v>
      </c>
      <c r="J3" s="123"/>
      <c r="K3" s="123"/>
      <c r="L3" s="123"/>
      <c r="M3" s="123"/>
      <c r="N3" s="123"/>
      <c r="O3" s="123"/>
      <c r="P3" s="123" t="s">
        <v>2</v>
      </c>
      <c r="Q3" s="123"/>
      <c r="R3" s="123"/>
      <c r="S3" s="123"/>
      <c r="T3" s="123"/>
      <c r="U3" s="123"/>
      <c r="V3" s="123"/>
      <c r="W3" s="123" t="str">
        <f>'（单动-高速压机OP20）'!W3:AC3</f>
        <v>左侧围外板</v>
      </c>
      <c r="X3" s="123"/>
      <c r="Y3" s="123"/>
      <c r="Z3" s="123"/>
      <c r="AA3" s="123"/>
      <c r="AB3" s="123"/>
      <c r="AC3" s="123"/>
      <c r="AD3" s="123" t="s">
        <v>84</v>
      </c>
      <c r="AE3" s="123"/>
      <c r="AF3" s="123"/>
      <c r="AG3" s="123"/>
      <c r="AH3" s="123"/>
      <c r="AI3" s="123"/>
      <c r="AJ3" s="123"/>
      <c r="AK3" s="123"/>
      <c r="AL3" s="130" t="str">
        <f>'（单动-高速压机OP20）'!AL3:AR3</f>
        <v>A SUVe</v>
      </c>
      <c r="AM3" s="126"/>
      <c r="AN3" s="126"/>
      <c r="AO3" s="126"/>
      <c r="AP3" s="126"/>
      <c r="AQ3" s="126"/>
      <c r="AR3" s="127"/>
      <c r="AS3" s="123" t="s">
        <v>3</v>
      </c>
      <c r="AT3" s="123"/>
      <c r="AU3" s="123"/>
      <c r="AV3" s="123"/>
      <c r="AW3" s="123"/>
      <c r="AX3" s="123"/>
      <c r="AY3" s="123"/>
      <c r="AZ3" s="123" t="s">
        <v>248</v>
      </c>
      <c r="BA3" s="123"/>
      <c r="BB3" s="123"/>
      <c r="BC3" s="123"/>
      <c r="BD3" s="123"/>
      <c r="BE3" s="123"/>
      <c r="BF3" s="124"/>
      <c r="BH3" s="1" t="s">
        <v>87</v>
      </c>
      <c r="BI3" s="88" t="s">
        <v>233</v>
      </c>
      <c r="BJ3" s="1" t="s">
        <v>126</v>
      </c>
      <c r="BK3" s="16" t="s">
        <v>128</v>
      </c>
      <c r="BL3" s="1" t="s">
        <v>137</v>
      </c>
      <c r="BM3" s="1" t="s">
        <v>147</v>
      </c>
      <c r="BN3" s="89" t="s">
        <v>202</v>
      </c>
      <c r="BO3" s="89" t="s">
        <v>212</v>
      </c>
      <c r="BP3" s="1" t="s">
        <v>218</v>
      </c>
      <c r="BQ3" s="16" t="s">
        <v>227</v>
      </c>
      <c r="BR3" s="16" t="s">
        <v>32</v>
      </c>
      <c r="BS3" s="16" t="s">
        <v>121</v>
      </c>
    </row>
    <row r="4" spans="1:71" ht="27" customHeight="1">
      <c r="A4" s="150" t="s">
        <v>83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7"/>
      <c r="BH4" s="16" t="s">
        <v>220</v>
      </c>
      <c r="BI4" s="92" t="s">
        <v>234</v>
      </c>
      <c r="BK4" s="16" t="s">
        <v>129</v>
      </c>
      <c r="BL4" s="16" t="s">
        <v>136</v>
      </c>
      <c r="BN4" s="89" t="s">
        <v>203</v>
      </c>
      <c r="BO4" s="89" t="s">
        <v>213</v>
      </c>
      <c r="BQ4" s="16" t="s">
        <v>224</v>
      </c>
      <c r="BR4" s="16" t="s">
        <v>32</v>
      </c>
      <c r="BS4" s="16" t="s">
        <v>121</v>
      </c>
    </row>
    <row r="5" spans="1:71" ht="27" customHeight="1">
      <c r="A5" s="150" t="s">
        <v>82</v>
      </c>
      <c r="B5" s="151"/>
      <c r="C5" s="151"/>
      <c r="D5" s="151"/>
      <c r="E5" s="151"/>
      <c r="F5" s="151"/>
      <c r="G5" s="151"/>
      <c r="H5" s="152"/>
      <c r="I5" s="130" t="s">
        <v>289</v>
      </c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7"/>
      <c r="AD5" s="158" t="s">
        <v>81</v>
      </c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60"/>
      <c r="AS5" s="167" t="s">
        <v>7</v>
      </c>
      <c r="AT5" s="165"/>
      <c r="AU5" s="165"/>
      <c r="AV5" s="165"/>
      <c r="AW5" s="165"/>
      <c r="AX5" s="165"/>
      <c r="AY5" s="165"/>
      <c r="AZ5" s="165"/>
      <c r="BA5" s="165"/>
      <c r="BB5" s="165"/>
      <c r="BC5" s="165"/>
      <c r="BD5" s="165"/>
      <c r="BE5" s="165"/>
      <c r="BF5" s="166"/>
      <c r="BH5" s="16" t="s">
        <v>221</v>
      </c>
      <c r="BI5" s="92"/>
      <c r="BK5" s="16" t="s">
        <v>130</v>
      </c>
      <c r="BL5" s="1" t="s">
        <v>139</v>
      </c>
      <c r="BN5" s="89" t="s">
        <v>204</v>
      </c>
      <c r="BO5" s="89" t="s">
        <v>214</v>
      </c>
      <c r="BQ5" s="16" t="s">
        <v>229</v>
      </c>
      <c r="BR5" s="16" t="s">
        <v>32</v>
      </c>
      <c r="BS5" s="16" t="s">
        <v>121</v>
      </c>
    </row>
    <row r="6" spans="1:71" ht="27" customHeight="1">
      <c r="A6" s="150" t="s">
        <v>80</v>
      </c>
      <c r="B6" s="151"/>
      <c r="C6" s="151"/>
      <c r="D6" s="151"/>
      <c r="E6" s="151"/>
      <c r="F6" s="151"/>
      <c r="G6" s="151"/>
      <c r="H6" s="152"/>
      <c r="I6" s="130" t="s">
        <v>290</v>
      </c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7"/>
      <c r="AD6" s="167" t="s">
        <v>79</v>
      </c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8"/>
      <c r="AS6" s="167">
        <v>12</v>
      </c>
      <c r="AT6" s="165"/>
      <c r="AU6" s="165"/>
      <c r="AV6" s="165"/>
      <c r="AW6" s="165"/>
      <c r="AX6" s="165"/>
      <c r="AY6" s="165"/>
      <c r="AZ6" s="165"/>
      <c r="BA6" s="165"/>
      <c r="BB6" s="165"/>
      <c r="BC6" s="165"/>
      <c r="BD6" s="165" t="s">
        <v>124</v>
      </c>
      <c r="BE6" s="165"/>
      <c r="BF6" s="166"/>
      <c r="BH6" s="16" t="s">
        <v>222</v>
      </c>
      <c r="BK6" s="16" t="s">
        <v>131</v>
      </c>
      <c r="BL6" s="16" t="s">
        <v>140</v>
      </c>
      <c r="BN6" s="89" t="s">
        <v>205</v>
      </c>
      <c r="BO6" s="89" t="s">
        <v>103</v>
      </c>
      <c r="BQ6" s="16" t="s">
        <v>230</v>
      </c>
      <c r="BR6" s="16" t="s">
        <v>32</v>
      </c>
      <c r="BS6" s="16" t="s">
        <v>121</v>
      </c>
    </row>
    <row r="7" spans="1:71" ht="27" customHeight="1">
      <c r="A7" s="150" t="s">
        <v>10</v>
      </c>
      <c r="B7" s="151"/>
      <c r="C7" s="151"/>
      <c r="D7" s="151"/>
      <c r="E7" s="151"/>
      <c r="F7" s="151"/>
      <c r="G7" s="151"/>
      <c r="H7" s="152"/>
      <c r="I7" s="245">
        <v>39.200000000000003</v>
      </c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126" t="s">
        <v>11</v>
      </c>
      <c r="AC7" s="127"/>
      <c r="AD7" s="167" t="s">
        <v>77</v>
      </c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8"/>
      <c r="AS7" s="167">
        <v>4</v>
      </c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 t="s">
        <v>123</v>
      </c>
      <c r="BE7" s="165"/>
      <c r="BF7" s="166"/>
      <c r="BH7" s="16" t="s">
        <v>223</v>
      </c>
      <c r="BK7" s="16" t="s">
        <v>132</v>
      </c>
      <c r="BL7" s="1" t="s">
        <v>141</v>
      </c>
      <c r="BN7" s="89" t="s">
        <v>206</v>
      </c>
      <c r="BQ7" s="16" t="s">
        <v>231</v>
      </c>
      <c r="BR7" s="16" t="s">
        <v>32</v>
      </c>
      <c r="BS7" s="16" t="s">
        <v>121</v>
      </c>
    </row>
    <row r="8" spans="1:71" ht="27" customHeight="1">
      <c r="A8" s="202" t="s">
        <v>76</v>
      </c>
      <c r="B8" s="203"/>
      <c r="C8" s="203"/>
      <c r="D8" s="203"/>
      <c r="E8" s="203"/>
      <c r="F8" s="203"/>
      <c r="G8" s="203"/>
      <c r="H8" s="203"/>
      <c r="I8" s="245">
        <v>19.3</v>
      </c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126" t="s">
        <v>11</v>
      </c>
      <c r="AC8" s="127"/>
      <c r="AD8" s="167" t="s">
        <v>75</v>
      </c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8"/>
      <c r="AS8" s="167">
        <v>8</v>
      </c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 t="s">
        <v>122</v>
      </c>
      <c r="BE8" s="165"/>
      <c r="BF8" s="166"/>
      <c r="BH8" s="16" t="s">
        <v>224</v>
      </c>
      <c r="BL8" s="16" t="s">
        <v>142</v>
      </c>
      <c r="BN8" s="89" t="s">
        <v>273</v>
      </c>
      <c r="BQ8" s="16" t="s">
        <v>232</v>
      </c>
      <c r="BR8" s="16" t="s">
        <v>32</v>
      </c>
      <c r="BS8" s="16" t="s">
        <v>121</v>
      </c>
    </row>
    <row r="9" spans="1:71" ht="27" customHeight="1">
      <c r="A9" s="204" t="s">
        <v>14</v>
      </c>
      <c r="B9" s="205"/>
      <c r="C9" s="205"/>
      <c r="D9" s="205"/>
      <c r="E9" s="205"/>
      <c r="F9" s="205"/>
      <c r="G9" s="205"/>
      <c r="H9" s="206"/>
      <c r="I9" s="200">
        <v>1274.5</v>
      </c>
      <c r="J9" s="201"/>
      <c r="K9" s="201"/>
      <c r="L9" s="201"/>
      <c r="M9" s="201"/>
      <c r="N9" s="201"/>
      <c r="O9" s="201"/>
      <c r="P9" s="201"/>
      <c r="Q9" s="201"/>
      <c r="R9" s="201"/>
      <c r="S9" s="199" t="s">
        <v>291</v>
      </c>
      <c r="T9" s="199"/>
      <c r="U9" s="199"/>
      <c r="V9" s="199"/>
      <c r="W9" s="199"/>
      <c r="X9" s="199"/>
      <c r="Y9" s="199"/>
      <c r="Z9" s="199"/>
      <c r="AA9" s="199"/>
      <c r="AB9" s="126" t="s">
        <v>115</v>
      </c>
      <c r="AC9" s="127"/>
      <c r="AD9" s="167" t="s">
        <v>73</v>
      </c>
      <c r="AE9" s="165"/>
      <c r="AF9" s="165" t="s">
        <v>56</v>
      </c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8"/>
      <c r="AS9" s="167">
        <v>1200</v>
      </c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 t="s">
        <v>72</v>
      </c>
      <c r="BE9" s="165"/>
      <c r="BF9" s="166"/>
      <c r="BH9" s="16" t="s">
        <v>225</v>
      </c>
      <c r="BN9" s="89" t="s">
        <v>208</v>
      </c>
      <c r="BQ9" s="16" t="s">
        <v>304</v>
      </c>
      <c r="BR9" s="16" t="s">
        <v>32</v>
      </c>
      <c r="BS9" s="16" t="s">
        <v>121</v>
      </c>
    </row>
    <row r="10" spans="1:71" ht="27" customHeight="1">
      <c r="A10" s="190" t="s">
        <v>71</v>
      </c>
      <c r="B10" s="191"/>
      <c r="C10" s="191"/>
      <c r="D10" s="191"/>
      <c r="E10" s="191"/>
      <c r="F10" s="191"/>
      <c r="G10" s="191"/>
      <c r="H10" s="192"/>
      <c r="I10" s="200">
        <v>1350</v>
      </c>
      <c r="J10" s="201"/>
      <c r="K10" s="201"/>
      <c r="L10" s="201"/>
      <c r="M10" s="201"/>
      <c r="N10" s="201"/>
      <c r="O10" s="201"/>
      <c r="P10" s="201"/>
      <c r="Q10" s="201"/>
      <c r="R10" s="201"/>
      <c r="S10" s="199" t="s">
        <v>280</v>
      </c>
      <c r="T10" s="199"/>
      <c r="U10" s="199"/>
      <c r="V10" s="199"/>
      <c r="W10" s="199"/>
      <c r="X10" s="199"/>
      <c r="Y10" s="199"/>
      <c r="Z10" s="199"/>
      <c r="AA10" s="199"/>
      <c r="AB10" s="126" t="s">
        <v>115</v>
      </c>
      <c r="AC10" s="127"/>
      <c r="AD10" s="167" t="s">
        <v>70</v>
      </c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8"/>
      <c r="AS10" s="175" t="s">
        <v>274</v>
      </c>
      <c r="AT10" s="176"/>
      <c r="AU10" s="176"/>
      <c r="AV10" s="176"/>
      <c r="AW10" s="176"/>
      <c r="AX10" s="176"/>
      <c r="AY10" s="176"/>
      <c r="AZ10" s="176"/>
      <c r="BA10" s="176"/>
      <c r="BB10" s="176"/>
      <c r="BC10" s="176"/>
      <c r="BD10" s="165" t="s">
        <v>219</v>
      </c>
      <c r="BE10" s="165"/>
      <c r="BF10" s="166"/>
      <c r="BN10" s="89" t="s">
        <v>209</v>
      </c>
    </row>
    <row r="11" spans="1:71" ht="20.149999999999999" customHeight="1">
      <c r="A11" s="18"/>
      <c r="F11" s="2"/>
      <c r="G11" s="238">
        <v>-7</v>
      </c>
      <c r="H11" s="238"/>
      <c r="I11" s="238">
        <v>-6</v>
      </c>
      <c r="J11" s="238"/>
      <c r="K11" s="238">
        <v>-5</v>
      </c>
      <c r="L11" s="238"/>
      <c r="M11" s="238">
        <v>-4</v>
      </c>
      <c r="N11" s="238"/>
      <c r="O11" s="238">
        <v>-3</v>
      </c>
      <c r="P11" s="238"/>
      <c r="Q11" s="238">
        <v>-2</v>
      </c>
      <c r="R11" s="238"/>
      <c r="S11" s="238">
        <v>-1</v>
      </c>
      <c r="T11" s="238"/>
      <c r="U11" s="3">
        <v>0</v>
      </c>
      <c r="V11" s="238">
        <v>1</v>
      </c>
      <c r="W11" s="238"/>
      <c r="X11" s="238">
        <v>2</v>
      </c>
      <c r="Y11" s="238"/>
      <c r="Z11" s="238">
        <v>3</v>
      </c>
      <c r="AA11" s="238"/>
      <c r="AB11" s="238">
        <v>4</v>
      </c>
      <c r="AC11" s="238"/>
      <c r="AD11" s="238">
        <v>5</v>
      </c>
      <c r="AE11" s="238"/>
      <c r="AF11" s="238">
        <v>6</v>
      </c>
      <c r="AG11" s="238"/>
      <c r="AH11" s="238">
        <v>7</v>
      </c>
      <c r="AI11" s="238"/>
      <c r="AJ11" s="4"/>
      <c r="AK11" s="19"/>
      <c r="AL11" s="19"/>
      <c r="AM11" s="19"/>
      <c r="AT11" s="37"/>
      <c r="AU11" s="37" t="s">
        <v>69</v>
      </c>
      <c r="AV11" s="37"/>
      <c r="AW11" s="85"/>
      <c r="AX11" s="36" t="s">
        <v>65</v>
      </c>
      <c r="AY11" s="37" t="s">
        <v>68</v>
      </c>
      <c r="AZ11" s="37"/>
      <c r="BA11" s="36"/>
      <c r="BB11" s="85"/>
      <c r="BC11" s="36"/>
      <c r="BD11" s="37"/>
      <c r="BE11" s="37"/>
      <c r="BF11" s="79"/>
      <c r="BN11" s="89" t="s">
        <v>210</v>
      </c>
    </row>
    <row r="12" spans="1:71" ht="20.149999999999999" customHeight="1">
      <c r="A12" s="18"/>
      <c r="F12" s="5"/>
      <c r="G12" s="83"/>
      <c r="H12" s="6"/>
      <c r="I12" s="83"/>
      <c r="J12" s="6"/>
      <c r="K12" s="83"/>
      <c r="L12" s="6"/>
      <c r="M12" s="103" t="s">
        <v>32</v>
      </c>
      <c r="N12" s="99"/>
      <c r="O12" s="100"/>
      <c r="P12" s="6"/>
      <c r="Q12" s="100"/>
      <c r="R12" s="6"/>
      <c r="S12" s="83"/>
      <c r="T12" s="6"/>
      <c r="U12" s="6"/>
      <c r="V12" s="83"/>
      <c r="W12" s="6"/>
      <c r="X12" s="83"/>
      <c r="Y12" s="101"/>
      <c r="Z12" s="83"/>
      <c r="AA12" s="101"/>
      <c r="AB12" s="83"/>
      <c r="AC12" s="104" t="s">
        <v>32</v>
      </c>
      <c r="AD12" s="83"/>
      <c r="AE12" s="101"/>
      <c r="AF12" s="83"/>
      <c r="AG12" s="6"/>
      <c r="AH12" s="83"/>
      <c r="AI12" s="6"/>
      <c r="AJ12" s="5"/>
      <c r="AK12" s="19"/>
      <c r="AL12" s="19"/>
      <c r="AM12" s="19"/>
      <c r="AT12" s="20"/>
      <c r="AU12" s="20"/>
      <c r="AV12" s="20"/>
      <c r="AW12" s="72"/>
      <c r="AX12" s="103" t="s">
        <v>32</v>
      </c>
      <c r="AY12" s="20" t="s">
        <v>238</v>
      </c>
      <c r="AZ12" s="72"/>
      <c r="BA12" s="72"/>
      <c r="BB12" s="72"/>
      <c r="BC12" s="72"/>
      <c r="BD12" s="20"/>
      <c r="BE12" s="20"/>
      <c r="BF12" s="24"/>
    </row>
    <row r="13" spans="1:71" ht="20.149999999999999" customHeight="1">
      <c r="A13" s="18"/>
      <c r="B13" s="194" t="s">
        <v>86</v>
      </c>
      <c r="C13" s="194"/>
      <c r="F13" s="5"/>
      <c r="G13" s="84"/>
      <c r="H13" s="6"/>
      <c r="I13" s="83"/>
      <c r="J13" s="122" t="s">
        <v>121</v>
      </c>
      <c r="K13" s="39" t="s">
        <v>32</v>
      </c>
      <c r="L13" s="102" t="s">
        <v>32</v>
      </c>
      <c r="M13" s="103" t="s">
        <v>32</v>
      </c>
      <c r="N13" s="99" t="str">
        <f>IF(VLOOKUP($AZ$2,$BQ$2:$BT$9,4,0)=0,"",VLOOKUP($AZ$2,$BQ$2:$BT$9,4,0))</f>
        <v/>
      </c>
      <c r="O13" s="103" t="s">
        <v>32</v>
      </c>
      <c r="P13" s="102" t="s">
        <v>32</v>
      </c>
      <c r="Q13" s="100" t="str">
        <f>IF(VLOOKUP($AZ$2,$BQ$2:$BT$9,4,0)=0,"",VLOOKUP($AZ$2,$BQ$2:$BT$9,4,0))</f>
        <v/>
      </c>
      <c r="R13" s="6"/>
      <c r="S13" s="83"/>
      <c r="T13" s="6"/>
      <c r="U13" s="6"/>
      <c r="V13" s="83"/>
      <c r="W13" s="6"/>
      <c r="X13" s="83"/>
      <c r="Y13" s="101" t="str">
        <f>IF(VLOOKUP($AZ$2,$BQ$2:$BT$9,4,0)=0,"",VLOOKUP($AZ$2,$BQ$2:$BT$9,4,0))</f>
        <v/>
      </c>
      <c r="Z13" s="84" t="s">
        <v>32</v>
      </c>
      <c r="AA13" s="104" t="s">
        <v>32</v>
      </c>
      <c r="AB13" s="83" t="str">
        <f>IF(VLOOKUP($AZ$2,$BQ$2:$BT$9,4,0)=0,"",VLOOKUP($AZ$2,$BQ$2:$BT$9,4,0))</f>
        <v/>
      </c>
      <c r="AC13" s="104" t="s">
        <v>32</v>
      </c>
      <c r="AD13" s="83" t="s">
        <v>32</v>
      </c>
      <c r="AE13" s="102" t="s">
        <v>32</v>
      </c>
      <c r="AF13" s="121" t="s">
        <v>121</v>
      </c>
      <c r="AG13" s="6"/>
      <c r="AH13" s="83"/>
      <c r="AI13" s="39"/>
      <c r="AJ13" s="5"/>
      <c r="AK13" s="5"/>
      <c r="AL13" s="19"/>
      <c r="AM13" s="19"/>
      <c r="AW13" s="72"/>
      <c r="AX13" s="72"/>
      <c r="AY13" s="72"/>
      <c r="AZ13" s="72"/>
      <c r="BA13" s="72"/>
      <c r="BB13" s="72"/>
      <c r="BC13" s="72"/>
      <c r="BF13" s="25"/>
    </row>
    <row r="14" spans="1:71" ht="20.149999999999999" customHeight="1">
      <c r="A14" s="18"/>
      <c r="B14" s="194"/>
      <c r="C14" s="194"/>
      <c r="F14" s="5"/>
      <c r="G14" s="84"/>
      <c r="H14" s="6"/>
      <c r="I14" s="83"/>
      <c r="J14" s="39" t="s">
        <v>32</v>
      </c>
      <c r="K14" s="98"/>
      <c r="L14" s="6" t="str">
        <f t="shared" ref="L14:M14" si="0">IF(VLOOKUP($AZ$2,$BQ$2:$BT$9,4,0)=0,"",VLOOKUP($AZ$2,$BQ$2:$BT$9,4,0))</f>
        <v/>
      </c>
      <c r="M14" s="6" t="str">
        <f t="shared" si="0"/>
        <v/>
      </c>
      <c r="N14" s="99" t="str">
        <f>IF(VLOOKUP($AZ$2,$BQ$2:$BT$9,4,0)=0,"",VLOOKUP($AZ$2,$BQ$2:$BT$9,4,0))</f>
        <v/>
      </c>
      <c r="O14" s="100" t="str">
        <f>IF(VLOOKUP($AZ$2,$BQ$2:$BT$9,4,0)=0,"",VLOOKUP($AZ$2,$BQ$2:$BT$9,4,0))</f>
        <v/>
      </c>
      <c r="P14" s="39" t="s">
        <v>32</v>
      </c>
      <c r="Q14" s="100" t="str">
        <f>IF(VLOOKUP($AZ$2,$BQ$2:$BT$9,4,0)=0,"",VLOOKUP($AZ$2,$BQ$2:$BT$9,4,0))</f>
        <v/>
      </c>
      <c r="R14" s="6"/>
      <c r="S14" s="83"/>
      <c r="T14" s="39" t="s">
        <v>32</v>
      </c>
      <c r="U14" s="6"/>
      <c r="V14" s="84" t="s">
        <v>32</v>
      </c>
      <c r="W14" s="6"/>
      <c r="X14" s="83"/>
      <c r="Y14" s="101" t="str">
        <f>IF(VLOOKUP($AZ$2,$BQ$2:$BT$9,4,0)=0,"",VLOOKUP($AZ$2,$BQ$2:$BT$9,4,0))</f>
        <v/>
      </c>
      <c r="Z14" s="84" t="s">
        <v>32</v>
      </c>
      <c r="AA14" s="101" t="str">
        <f>IF(VLOOKUP($AZ$2,$BQ$2:$BT$9,4,0)=0,"",VLOOKUP($AZ$2,$BQ$2:$BT$9,4,0))</f>
        <v/>
      </c>
      <c r="AB14" s="83" t="str">
        <f>IF(VLOOKUP($AZ$2,$BQ$2:$BT$9,4,0)=0,"",VLOOKUP($AZ$2,$BQ$2:$BT$9,4,0))</f>
        <v/>
      </c>
      <c r="AC14" s="101" t="str">
        <f t="shared" ref="AC14:AD14" si="1">IF(VLOOKUP($AZ$2,$BQ$2:$BT$9,4,0)=0,"",VLOOKUP($AZ$2,$BQ$2:$BT$9,4,0))</f>
        <v/>
      </c>
      <c r="AD14" s="83" t="str">
        <f t="shared" si="1"/>
        <v/>
      </c>
      <c r="AE14" s="105"/>
      <c r="AF14" s="84" t="str">
        <f>IF(VLOOKUP($AZ$2,$BQ$2:$BT$9,2,0)=0,"",VLOOKUP($AZ$2,$BQ$2:$BT$9,2,0))</f>
        <v>○</v>
      </c>
      <c r="AG14" s="6"/>
      <c r="AH14" s="83"/>
      <c r="AI14" s="39"/>
      <c r="AJ14" s="5"/>
      <c r="AK14" s="5"/>
      <c r="AL14" s="19"/>
      <c r="AM14" s="19"/>
      <c r="AW14" s="72"/>
      <c r="AX14" s="72"/>
      <c r="AY14" s="72"/>
      <c r="AZ14" s="72"/>
      <c r="BA14" s="72"/>
      <c r="BB14" s="72"/>
      <c r="BC14" s="72"/>
      <c r="BF14" s="25"/>
    </row>
    <row r="15" spans="1:71" ht="20.149999999999999" customHeight="1">
      <c r="A15" s="18"/>
      <c r="B15" s="194"/>
      <c r="C15" s="194"/>
      <c r="F15" s="5"/>
      <c r="G15" s="84"/>
      <c r="H15" s="6"/>
      <c r="I15" s="83"/>
      <c r="J15" s="6"/>
      <c r="K15" s="83"/>
      <c r="L15" s="6"/>
      <c r="M15" s="6"/>
      <c r="N15" s="99"/>
      <c r="O15" s="100"/>
      <c r="P15" s="6"/>
      <c r="Q15" s="100"/>
      <c r="R15" s="6"/>
      <c r="S15" s="83"/>
      <c r="T15" s="6"/>
      <c r="U15" s="6"/>
      <c r="V15" s="83"/>
      <c r="W15" s="6"/>
      <c r="X15" s="83"/>
      <c r="Y15" s="101"/>
      <c r="Z15" s="83"/>
      <c r="AA15" s="101"/>
      <c r="AB15" s="83"/>
      <c r="AC15" s="101"/>
      <c r="AD15" s="83"/>
      <c r="AE15" s="101"/>
      <c r="AF15" s="83"/>
      <c r="AG15" s="6"/>
      <c r="AH15" s="83"/>
      <c r="AI15" s="39"/>
      <c r="AJ15" s="5"/>
      <c r="AK15" s="5"/>
      <c r="AL15" s="19"/>
      <c r="AM15" s="19"/>
      <c r="AW15" s="72"/>
      <c r="AX15" s="72"/>
      <c r="AY15" s="72"/>
      <c r="AZ15" s="72"/>
      <c r="BA15" s="72"/>
      <c r="BB15" s="72"/>
      <c r="BC15" s="72"/>
      <c r="BF15" s="25"/>
    </row>
    <row r="16" spans="1:71" ht="20.149999999999999" customHeight="1">
      <c r="A16" s="18"/>
      <c r="B16" s="194"/>
      <c r="C16" s="194"/>
      <c r="F16" s="5"/>
      <c r="G16" s="84"/>
      <c r="H16" s="6"/>
      <c r="I16" s="83"/>
      <c r="J16" s="6"/>
      <c r="K16" s="83"/>
      <c r="L16" s="6"/>
      <c r="M16" s="6"/>
      <c r="N16" s="99"/>
      <c r="O16" s="100"/>
      <c r="P16" s="102"/>
      <c r="Q16" s="100"/>
      <c r="R16" s="6"/>
      <c r="S16" s="83"/>
      <c r="T16" s="6"/>
      <c r="U16" s="6"/>
      <c r="V16" s="83"/>
      <c r="W16" s="6"/>
      <c r="X16" s="83"/>
      <c r="Y16" s="101"/>
      <c r="Z16" s="84"/>
      <c r="AA16" s="101"/>
      <c r="AB16" s="83"/>
      <c r="AC16" s="101"/>
      <c r="AD16" s="83"/>
      <c r="AE16" s="101"/>
      <c r="AF16" s="83"/>
      <c r="AG16" s="6"/>
      <c r="AH16" s="83"/>
      <c r="AI16" s="39"/>
      <c r="AJ16" s="5"/>
      <c r="AK16" s="5"/>
      <c r="AL16" s="19"/>
      <c r="AM16" s="208" t="s">
        <v>67</v>
      </c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80"/>
    </row>
    <row r="17" spans="1:58" ht="20.149999999999999" customHeight="1">
      <c r="A17" s="18"/>
      <c r="B17" s="194"/>
      <c r="C17" s="194"/>
      <c r="F17" s="5"/>
      <c r="G17" s="39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39"/>
      <c r="AJ17" s="5"/>
      <c r="AK17" s="5"/>
      <c r="AL17" s="19"/>
      <c r="AM17" s="208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80"/>
    </row>
    <row r="18" spans="1:58" ht="20.149999999999999" customHeight="1">
      <c r="A18" s="18"/>
      <c r="B18" s="194"/>
      <c r="C18" s="194"/>
      <c r="F18" s="5"/>
      <c r="G18" s="39"/>
      <c r="H18" s="6"/>
      <c r="I18" s="6"/>
      <c r="J18" s="6"/>
      <c r="K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E18" s="6"/>
      <c r="AF18" s="6"/>
      <c r="AG18" s="6"/>
      <c r="AH18" s="6"/>
      <c r="AI18" s="39"/>
      <c r="AJ18" s="5"/>
      <c r="AK18" s="5"/>
      <c r="AL18" s="19"/>
      <c r="AM18" s="208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80"/>
    </row>
    <row r="19" spans="1:58" ht="20.149999999999999" customHeight="1">
      <c r="A19" s="18"/>
      <c r="B19" s="194"/>
      <c r="C19" s="194"/>
      <c r="F19" s="5"/>
      <c r="G19" s="39"/>
      <c r="H19" s="6"/>
      <c r="I19" s="6"/>
      <c r="J19" s="6"/>
      <c r="K19" s="39"/>
      <c r="N19" s="6"/>
      <c r="O19" s="39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39"/>
      <c r="AB19" s="6"/>
      <c r="AE19" s="39"/>
      <c r="AF19" s="6"/>
      <c r="AG19" s="6"/>
      <c r="AH19" s="6"/>
      <c r="AI19" s="39"/>
      <c r="AJ19" s="5"/>
      <c r="AK19" s="5"/>
      <c r="AL19" s="19"/>
      <c r="AM19" s="193" t="s">
        <v>48</v>
      </c>
      <c r="AO19" s="26"/>
      <c r="AP19" s="20"/>
      <c r="AQ19" s="20"/>
      <c r="AR19" s="20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80"/>
    </row>
    <row r="20" spans="1:58" ht="20.149999999999999" customHeight="1">
      <c r="A20" s="18"/>
      <c r="B20" s="194"/>
      <c r="C20" s="194"/>
      <c r="F20" s="5"/>
      <c r="G20" s="39"/>
      <c r="H20" s="6"/>
      <c r="I20" s="6"/>
      <c r="J20" s="6"/>
      <c r="K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E20" s="6"/>
      <c r="AF20" s="6"/>
      <c r="AG20" s="6"/>
      <c r="AH20" s="6"/>
      <c r="AI20" s="39"/>
      <c r="AJ20" s="5"/>
      <c r="AK20" s="5"/>
      <c r="AL20" s="19"/>
      <c r="AM20" s="193"/>
      <c r="AO20" s="20"/>
      <c r="AP20" s="20"/>
      <c r="AQ20" s="20"/>
      <c r="AR20" s="20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80"/>
    </row>
    <row r="21" spans="1:58" ht="20.149999999999999" customHeight="1">
      <c r="A21" s="18"/>
      <c r="B21" s="194"/>
      <c r="C21" s="194"/>
      <c r="F21" s="5"/>
      <c r="G21" s="39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39"/>
      <c r="AJ21" s="5"/>
      <c r="AK21" s="5"/>
      <c r="AL21" s="19"/>
      <c r="AM21" s="193"/>
      <c r="AO21" s="27"/>
      <c r="AP21" s="27"/>
      <c r="AQ21" s="27"/>
      <c r="AR21" s="27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80"/>
    </row>
    <row r="22" spans="1:58" ht="20.149999999999999" customHeight="1">
      <c r="A22" s="18"/>
      <c r="B22" s="194"/>
      <c r="C22" s="194"/>
      <c r="F22" s="5"/>
      <c r="G22" s="84"/>
      <c r="H22" s="6"/>
      <c r="I22" s="83"/>
      <c r="J22" s="6"/>
      <c r="K22" s="83"/>
      <c r="L22" s="6"/>
      <c r="M22" s="6"/>
      <c r="N22" s="99"/>
      <c r="O22" s="100"/>
      <c r="P22" s="102"/>
      <c r="Q22" s="100"/>
      <c r="R22" s="6"/>
      <c r="S22" s="83"/>
      <c r="T22" s="6"/>
      <c r="U22" s="6"/>
      <c r="V22" s="83"/>
      <c r="W22" s="6"/>
      <c r="X22" s="83"/>
      <c r="Y22" s="101"/>
      <c r="Z22" s="84"/>
      <c r="AA22" s="101"/>
      <c r="AB22" s="83"/>
      <c r="AC22" s="101"/>
      <c r="AD22" s="83"/>
      <c r="AE22" s="101"/>
      <c r="AF22" s="83"/>
      <c r="AG22" s="6"/>
      <c r="AH22" s="83"/>
      <c r="AI22" s="39"/>
      <c r="AJ22" s="5"/>
      <c r="AK22" s="5"/>
      <c r="AL22" s="19"/>
      <c r="AM22" s="193"/>
      <c r="AO22" s="27"/>
      <c r="AP22" s="27"/>
      <c r="AQ22" s="27"/>
      <c r="AR22" s="27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80"/>
    </row>
    <row r="23" spans="1:58" ht="20.149999999999999" customHeight="1">
      <c r="A23" s="18"/>
      <c r="B23" s="194"/>
      <c r="C23" s="194"/>
      <c r="F23" s="5"/>
      <c r="G23" s="84"/>
      <c r="H23" s="6"/>
      <c r="I23" s="83"/>
      <c r="J23" s="6"/>
      <c r="K23" s="83"/>
      <c r="L23" s="6"/>
      <c r="M23" s="6"/>
      <c r="N23" s="99"/>
      <c r="O23" s="100"/>
      <c r="P23" s="6"/>
      <c r="Q23" s="100"/>
      <c r="R23" s="6"/>
      <c r="S23" s="83"/>
      <c r="T23" s="6"/>
      <c r="U23" s="6"/>
      <c r="V23" s="83"/>
      <c r="W23" s="6"/>
      <c r="X23" s="83"/>
      <c r="Y23" s="101"/>
      <c r="Z23" s="83"/>
      <c r="AA23" s="101"/>
      <c r="AB23" s="83"/>
      <c r="AC23" s="101"/>
      <c r="AD23" s="83"/>
      <c r="AE23" s="101"/>
      <c r="AF23" s="83"/>
      <c r="AG23" s="6"/>
      <c r="AH23" s="83"/>
      <c r="AI23" s="39"/>
      <c r="AJ23" s="5"/>
      <c r="AK23" s="5"/>
      <c r="AL23" s="19"/>
      <c r="AM23" s="193"/>
      <c r="AO23" s="27"/>
      <c r="AP23" s="27"/>
      <c r="AQ23" s="27"/>
      <c r="AR23" s="27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80"/>
    </row>
    <row r="24" spans="1:58" ht="20.149999999999999" customHeight="1">
      <c r="A24" s="18"/>
      <c r="B24" s="194"/>
      <c r="C24" s="194"/>
      <c r="F24" s="5"/>
      <c r="G24" s="84"/>
      <c r="H24" s="6"/>
      <c r="I24" s="83"/>
      <c r="J24" s="39" t="s">
        <v>32</v>
      </c>
      <c r="K24" s="98"/>
      <c r="L24" s="6" t="str">
        <f t="shared" ref="L24:O24" si="2">IF(VLOOKUP($AZ$2,$BQ$2:$BT$9,4,0)=0,"",VLOOKUP($AZ$2,$BQ$2:$BT$9,4,0))</f>
        <v/>
      </c>
      <c r="M24" s="6" t="str">
        <f t="shared" si="2"/>
        <v/>
      </c>
      <c r="N24" s="99" t="str">
        <f t="shared" si="2"/>
        <v/>
      </c>
      <c r="O24" s="100" t="str">
        <f t="shared" si="2"/>
        <v/>
      </c>
      <c r="P24" s="39" t="s">
        <v>32</v>
      </c>
      <c r="Q24" s="100" t="str">
        <f>IF(VLOOKUP($AZ$2,$BQ$2:$BT$9,4,0)=0,"",VLOOKUP($AZ$2,$BQ$2:$BT$9,4,0))</f>
        <v/>
      </c>
      <c r="R24" s="6"/>
      <c r="S24" s="83"/>
      <c r="T24" s="39" t="s">
        <v>32</v>
      </c>
      <c r="U24" s="6"/>
      <c r="V24" s="83" t="s">
        <v>32</v>
      </c>
      <c r="W24" s="6"/>
      <c r="X24" s="83"/>
      <c r="Y24" s="101" t="str">
        <f>IF(VLOOKUP($AZ$2,$BQ$2:$BT$9,4,0)=0,"",VLOOKUP($AZ$2,$BQ$2:$BT$9,4,0))</f>
        <v/>
      </c>
      <c r="Z24" s="39" t="s">
        <v>32</v>
      </c>
      <c r="AA24" s="101" t="str">
        <f t="shared" ref="AA24:AD24" si="3">IF(VLOOKUP($AZ$2,$BQ$2:$BT$9,4,0)=0,"",VLOOKUP($AZ$2,$BQ$2:$BT$9,4,0))</f>
        <v/>
      </c>
      <c r="AB24" s="83" t="str">
        <f t="shared" si="3"/>
        <v/>
      </c>
      <c r="AC24" s="101" t="str">
        <f t="shared" si="3"/>
        <v/>
      </c>
      <c r="AD24" s="83" t="str">
        <f t="shared" si="3"/>
        <v/>
      </c>
      <c r="AE24" s="101"/>
      <c r="AF24" s="83" t="s">
        <v>237</v>
      </c>
      <c r="AG24" s="6"/>
      <c r="AH24" s="83"/>
      <c r="AI24" s="39"/>
      <c r="AJ24" s="5"/>
      <c r="AK24" s="5"/>
      <c r="AL24" s="19"/>
      <c r="AM24" s="19"/>
      <c r="AO24" s="27"/>
      <c r="AP24" s="27"/>
      <c r="AQ24" s="27"/>
      <c r="AR24" s="27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80"/>
    </row>
    <row r="25" spans="1:58" ht="20.149999999999999" customHeight="1">
      <c r="A25" s="18"/>
      <c r="F25" s="5"/>
      <c r="G25" s="84"/>
      <c r="H25" s="6"/>
      <c r="I25" s="83"/>
      <c r="J25" s="122" t="s">
        <v>121</v>
      </c>
      <c r="K25" s="39" t="s">
        <v>32</v>
      </c>
      <c r="L25" s="102" t="s">
        <v>32</v>
      </c>
      <c r="M25" s="39" t="s">
        <v>32</v>
      </c>
      <c r="N25" s="99" t="str">
        <f>IF(VLOOKUP($AZ$2,$BQ$2:$BT$9,4,0)=0,"",VLOOKUP($AZ$2,$BQ$2:$BT$9,4,0))</f>
        <v/>
      </c>
      <c r="O25" s="39" t="s">
        <v>32</v>
      </c>
      <c r="P25" s="102" t="s">
        <v>32</v>
      </c>
      <c r="Q25" s="100" t="str">
        <f>IF(VLOOKUP($AZ$2,$BQ$2:$BT$9,4,0)=0,"",VLOOKUP($AZ$2,$BQ$2:$BT$9,4,0))</f>
        <v/>
      </c>
      <c r="R25" s="6"/>
      <c r="S25" s="83"/>
      <c r="T25" s="6"/>
      <c r="U25" s="6"/>
      <c r="V25" s="83"/>
      <c r="W25" s="6"/>
      <c r="X25" s="83"/>
      <c r="Y25" s="101" t="str">
        <f>IF(VLOOKUP($AZ$2,$BQ$2:$BT$9,4,0)=0,"",VLOOKUP($AZ$2,$BQ$2:$BT$9,4,0))</f>
        <v/>
      </c>
      <c r="Z25" s="39" t="s">
        <v>32</v>
      </c>
      <c r="AA25" s="102" t="s">
        <v>32</v>
      </c>
      <c r="AB25" s="83" t="str">
        <f>IF(VLOOKUP($AZ$2,$BQ$2:$BT$9,4,0)=0,"",VLOOKUP($AZ$2,$BQ$2:$BT$9,4,0))</f>
        <v/>
      </c>
      <c r="AC25" s="39" t="s">
        <v>32</v>
      </c>
      <c r="AD25" s="83" t="s">
        <v>32</v>
      </c>
      <c r="AE25" s="102" t="s">
        <v>32</v>
      </c>
      <c r="AF25" s="121" t="s">
        <v>121</v>
      </c>
      <c r="AG25" s="6"/>
      <c r="AH25" s="83"/>
      <c r="AI25" s="39"/>
      <c r="AJ25" s="5"/>
      <c r="AK25" s="5"/>
      <c r="AL25" s="19"/>
      <c r="AM25" s="19"/>
      <c r="AO25" s="27"/>
      <c r="AP25" s="27"/>
      <c r="AQ25" s="27"/>
      <c r="AR25" s="27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80"/>
    </row>
    <row r="26" spans="1:58" ht="20.149999999999999" customHeight="1">
      <c r="A26" s="18"/>
      <c r="F26" s="5"/>
      <c r="G26" s="83"/>
      <c r="H26" s="6"/>
      <c r="I26" s="83"/>
      <c r="J26" s="6"/>
      <c r="K26" s="83"/>
      <c r="L26" s="6"/>
      <c r="M26" s="39" t="s">
        <v>32</v>
      </c>
      <c r="N26" s="99"/>
      <c r="O26" s="100"/>
      <c r="P26" s="6"/>
      <c r="Q26" s="100"/>
      <c r="R26" s="6"/>
      <c r="S26" s="83"/>
      <c r="T26" s="6"/>
      <c r="U26" s="6"/>
      <c r="V26" s="83"/>
      <c r="W26" s="6"/>
      <c r="X26" s="83"/>
      <c r="Y26" s="101"/>
      <c r="Z26" s="83"/>
      <c r="AA26" s="101"/>
      <c r="AB26" s="83"/>
      <c r="AC26" s="39" t="s">
        <v>32</v>
      </c>
      <c r="AD26" s="83"/>
      <c r="AE26" s="101"/>
      <c r="AF26" s="83"/>
      <c r="AG26" s="6"/>
      <c r="AH26" s="83"/>
      <c r="AI26" s="6"/>
      <c r="AJ26" s="5"/>
      <c r="AK26" s="5"/>
      <c r="AL26" s="19"/>
      <c r="AM26" s="19"/>
      <c r="AO26" s="27"/>
      <c r="AP26" s="27"/>
      <c r="AQ26" s="27"/>
      <c r="AR26" s="27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80"/>
    </row>
    <row r="27" spans="1:58" ht="20.149999999999999" customHeight="1">
      <c r="A27" s="18"/>
      <c r="F27" s="7"/>
      <c r="G27" s="237">
        <v>-7</v>
      </c>
      <c r="H27" s="237"/>
      <c r="I27" s="237">
        <v>-6</v>
      </c>
      <c r="J27" s="237"/>
      <c r="K27" s="237">
        <v>-5</v>
      </c>
      <c r="L27" s="237"/>
      <c r="M27" s="237">
        <v>-4</v>
      </c>
      <c r="N27" s="237"/>
      <c r="O27" s="237">
        <v>-3</v>
      </c>
      <c r="P27" s="237"/>
      <c r="Q27" s="237">
        <v>-2</v>
      </c>
      <c r="R27" s="237"/>
      <c r="S27" s="237">
        <v>-1</v>
      </c>
      <c r="T27" s="237"/>
      <c r="U27" s="87">
        <v>0</v>
      </c>
      <c r="V27" s="237">
        <v>1</v>
      </c>
      <c r="W27" s="237"/>
      <c r="X27" s="237">
        <v>2</v>
      </c>
      <c r="Y27" s="237"/>
      <c r="Z27" s="237">
        <v>3</v>
      </c>
      <c r="AA27" s="237"/>
      <c r="AB27" s="237">
        <v>4</v>
      </c>
      <c r="AC27" s="237"/>
      <c r="AD27" s="237">
        <v>5</v>
      </c>
      <c r="AE27" s="237"/>
      <c r="AF27" s="237">
        <v>6</v>
      </c>
      <c r="AG27" s="237"/>
      <c r="AH27" s="237">
        <v>7</v>
      </c>
      <c r="AI27" s="237"/>
      <c r="AJ27" s="10"/>
      <c r="AK27" s="28"/>
      <c r="AL27" s="28"/>
      <c r="AM27" s="28"/>
      <c r="AN27" s="29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86"/>
    </row>
    <row r="28" spans="1:58" ht="20.149999999999999" customHeight="1">
      <c r="A28" s="31"/>
      <c r="B28" s="32"/>
      <c r="C28" s="32"/>
      <c r="D28" s="32"/>
      <c r="E28" s="32"/>
      <c r="F28" s="116"/>
      <c r="G28" s="116"/>
      <c r="H28" s="117">
        <v>-13</v>
      </c>
      <c r="I28" s="117">
        <v>-12</v>
      </c>
      <c r="J28" s="117">
        <v>-11</v>
      </c>
      <c r="K28" s="117">
        <v>-10</v>
      </c>
      <c r="L28" s="118">
        <v>-9</v>
      </c>
      <c r="M28" s="118">
        <v>-8</v>
      </c>
      <c r="N28" s="118">
        <v>-7</v>
      </c>
      <c r="O28" s="118">
        <v>-6</v>
      </c>
      <c r="P28" s="118">
        <v>-5</v>
      </c>
      <c r="Q28" s="118">
        <v>-4</v>
      </c>
      <c r="R28" s="118">
        <v>-3</v>
      </c>
      <c r="S28" s="118">
        <v>-2</v>
      </c>
      <c r="T28" s="118">
        <v>-1</v>
      </c>
      <c r="U28" s="118">
        <v>0</v>
      </c>
      <c r="V28" s="118">
        <v>1</v>
      </c>
      <c r="W28" s="118">
        <v>2</v>
      </c>
      <c r="X28" s="118">
        <v>3</v>
      </c>
      <c r="Y28" s="118">
        <v>4</v>
      </c>
      <c r="Z28" s="118">
        <v>5</v>
      </c>
      <c r="AA28" s="118">
        <v>6</v>
      </c>
      <c r="AB28" s="118">
        <v>7</v>
      </c>
      <c r="AC28" s="118">
        <v>8</v>
      </c>
      <c r="AD28" s="118">
        <v>9</v>
      </c>
      <c r="AE28" s="117">
        <v>10</v>
      </c>
      <c r="AF28" s="117">
        <v>11</v>
      </c>
      <c r="AG28" s="117">
        <v>12</v>
      </c>
      <c r="AH28" s="117">
        <v>13</v>
      </c>
      <c r="AI28" s="119"/>
      <c r="AJ28" s="117"/>
      <c r="AK28" s="119"/>
      <c r="AL28" s="19"/>
      <c r="AM28" s="19"/>
      <c r="AT28" s="20"/>
      <c r="AU28" s="20"/>
      <c r="AV28" s="20" t="s">
        <v>21</v>
      </c>
      <c r="AW28" s="20"/>
      <c r="AX28" s="20"/>
      <c r="AY28" s="20"/>
      <c r="AZ28" s="71"/>
      <c r="BA28" s="23" t="s">
        <v>64</v>
      </c>
      <c r="BB28" s="20" t="s">
        <v>239</v>
      </c>
      <c r="BC28" s="20"/>
      <c r="BD28" s="20"/>
      <c r="BF28" s="25"/>
    </row>
    <row r="29" spans="1:58" ht="20.149999999999999" customHeight="1">
      <c r="A29" s="18"/>
      <c r="F29" s="115"/>
      <c r="G29" s="115">
        <v>6</v>
      </c>
      <c r="H29" s="6" t="s">
        <v>32</v>
      </c>
      <c r="I29" s="6" t="s">
        <v>32</v>
      </c>
      <c r="J29" s="6" t="s">
        <v>32</v>
      </c>
      <c r="K29" s="6" t="s">
        <v>32</v>
      </c>
      <c r="L29" s="6" t="s">
        <v>32</v>
      </c>
      <c r="M29" s="6" t="s">
        <v>32</v>
      </c>
      <c r="N29" s="6" t="s">
        <v>32</v>
      </c>
      <c r="O29" s="6" t="s">
        <v>32</v>
      </c>
      <c r="P29" s="6" t="s">
        <v>32</v>
      </c>
      <c r="Q29" s="6" t="s">
        <v>32</v>
      </c>
      <c r="R29" s="6" t="s">
        <v>32</v>
      </c>
      <c r="S29" s="6" t="s">
        <v>32</v>
      </c>
      <c r="T29" s="6" t="s">
        <v>32</v>
      </c>
      <c r="U29" s="6" t="s">
        <v>32</v>
      </c>
      <c r="V29" s="6" t="s">
        <v>32</v>
      </c>
      <c r="W29" s="6" t="s">
        <v>32</v>
      </c>
      <c r="X29" s="6" t="s">
        <v>32</v>
      </c>
      <c r="Y29" s="6" t="s">
        <v>32</v>
      </c>
      <c r="Z29" s="6" t="s">
        <v>32</v>
      </c>
      <c r="AA29" s="6" t="s">
        <v>32</v>
      </c>
      <c r="AB29" s="6" t="s">
        <v>32</v>
      </c>
      <c r="AC29" s="6" t="s">
        <v>32</v>
      </c>
      <c r="AD29" s="6" t="s">
        <v>32</v>
      </c>
      <c r="AE29" s="6" t="s">
        <v>32</v>
      </c>
      <c r="AF29" s="6" t="s">
        <v>32</v>
      </c>
      <c r="AG29" s="6" t="s">
        <v>32</v>
      </c>
      <c r="AH29" s="6" t="s">
        <v>32</v>
      </c>
      <c r="AI29" s="118">
        <v>6</v>
      </c>
      <c r="AJ29" s="6"/>
      <c r="AK29" s="118"/>
      <c r="AL29" s="19"/>
      <c r="AM29" s="19"/>
      <c r="AT29" s="20"/>
      <c r="AU29" s="20"/>
      <c r="AV29" s="20"/>
      <c r="AW29" s="20"/>
      <c r="AX29" s="20"/>
      <c r="AY29" s="20"/>
      <c r="AZ29" s="71"/>
      <c r="BA29" s="103" t="s">
        <v>32</v>
      </c>
      <c r="BB29" s="20" t="s">
        <v>240</v>
      </c>
      <c r="BC29" s="20"/>
      <c r="BD29" s="20"/>
      <c r="BF29" s="25"/>
    </row>
    <row r="30" spans="1:58" ht="20.149999999999999" customHeight="1">
      <c r="A30" s="18"/>
      <c r="F30" s="115"/>
      <c r="G30" s="115">
        <v>5</v>
      </c>
      <c r="H30" s="6" t="s">
        <v>32</v>
      </c>
      <c r="I30" s="6" t="s">
        <v>32</v>
      </c>
      <c r="J30" s="6" t="s">
        <v>32</v>
      </c>
      <c r="K30" s="6" t="s">
        <v>32</v>
      </c>
      <c r="L30" s="6" t="s">
        <v>32</v>
      </c>
      <c r="M30" s="6" t="s">
        <v>32</v>
      </c>
      <c r="N30" s="6" t="s">
        <v>32</v>
      </c>
      <c r="O30" s="6" t="s">
        <v>32</v>
      </c>
      <c r="P30" s="6" t="s">
        <v>32</v>
      </c>
      <c r="Q30" s="6" t="s">
        <v>32</v>
      </c>
      <c r="R30" s="6" t="s">
        <v>32</v>
      </c>
      <c r="S30" s="6" t="s">
        <v>19</v>
      </c>
      <c r="T30" s="6" t="s">
        <v>32</v>
      </c>
      <c r="U30" s="6" t="s">
        <v>19</v>
      </c>
      <c r="V30" s="6" t="s">
        <v>32</v>
      </c>
      <c r="W30" s="6" t="s">
        <v>19</v>
      </c>
      <c r="X30" s="6" t="s">
        <v>19</v>
      </c>
      <c r="Y30" s="6" t="s">
        <v>32</v>
      </c>
      <c r="Z30" s="6" t="s">
        <v>19</v>
      </c>
      <c r="AA30" s="6" t="s">
        <v>32</v>
      </c>
      <c r="AB30" s="6" t="s">
        <v>19</v>
      </c>
      <c r="AC30" s="6" t="s">
        <v>19</v>
      </c>
      <c r="AD30" s="6" t="s">
        <v>32</v>
      </c>
      <c r="AE30" s="6" t="s">
        <v>32</v>
      </c>
      <c r="AF30" s="6" t="s">
        <v>32</v>
      </c>
      <c r="AG30" s="6" t="s">
        <v>32</v>
      </c>
      <c r="AH30" s="6" t="s">
        <v>32</v>
      </c>
      <c r="AI30" s="118">
        <v>5</v>
      </c>
      <c r="AJ30" s="6"/>
      <c r="AK30" s="118"/>
      <c r="AL30" s="19"/>
      <c r="AM30" s="19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F30" s="25"/>
    </row>
    <row r="31" spans="1:58" ht="20.149999999999999" customHeight="1">
      <c r="A31" s="18"/>
      <c r="B31" s="194" t="s">
        <v>23</v>
      </c>
      <c r="C31" s="194"/>
      <c r="F31" s="115"/>
      <c r="G31" s="115">
        <v>4</v>
      </c>
      <c r="H31" s="6" t="s">
        <v>32</v>
      </c>
      <c r="I31" s="6" t="s">
        <v>32</v>
      </c>
      <c r="J31" s="6" t="s">
        <v>32</v>
      </c>
      <c r="K31" s="6" t="s">
        <v>32</v>
      </c>
      <c r="L31" s="6" t="s">
        <v>32</v>
      </c>
      <c r="M31" s="6" t="s">
        <v>32</v>
      </c>
      <c r="N31" s="6" t="s">
        <v>32</v>
      </c>
      <c r="O31" s="6" t="s">
        <v>19</v>
      </c>
      <c r="P31" s="6" t="s">
        <v>32</v>
      </c>
      <c r="Q31" s="6" t="s">
        <v>32</v>
      </c>
      <c r="R31" s="6" t="s">
        <v>32</v>
      </c>
      <c r="S31" s="6" t="s">
        <v>19</v>
      </c>
      <c r="T31" s="6" t="s">
        <v>32</v>
      </c>
      <c r="U31" s="6" t="s">
        <v>32</v>
      </c>
      <c r="V31" s="6" t="s">
        <v>32</v>
      </c>
      <c r="W31" s="6" t="s">
        <v>32</v>
      </c>
      <c r="X31" s="6" t="s">
        <v>32</v>
      </c>
      <c r="Y31" s="6" t="s">
        <v>32</v>
      </c>
      <c r="Z31" s="6" t="s">
        <v>32</v>
      </c>
      <c r="AA31" s="6" t="s">
        <v>32</v>
      </c>
      <c r="AB31" s="6" t="s">
        <v>32</v>
      </c>
      <c r="AC31" s="6" t="s">
        <v>32</v>
      </c>
      <c r="AD31" s="6" t="s">
        <v>19</v>
      </c>
      <c r="AE31" s="6" t="s">
        <v>32</v>
      </c>
      <c r="AF31" s="6" t="s">
        <v>32</v>
      </c>
      <c r="AG31" s="6" t="s">
        <v>32</v>
      </c>
      <c r="AH31" s="6" t="s">
        <v>32</v>
      </c>
      <c r="AI31" s="118">
        <v>4</v>
      </c>
      <c r="AJ31" s="6"/>
      <c r="AK31" s="118"/>
      <c r="AL31" s="19"/>
      <c r="AM31" s="19"/>
      <c r="BF31" s="25"/>
    </row>
    <row r="32" spans="1:58" ht="20.149999999999999" customHeight="1">
      <c r="A32" s="18"/>
      <c r="B32" s="194"/>
      <c r="C32" s="194"/>
      <c r="F32" s="115"/>
      <c r="G32" s="115">
        <v>3</v>
      </c>
      <c r="H32" s="6" t="s">
        <v>32</v>
      </c>
      <c r="I32" s="6" t="s">
        <v>32</v>
      </c>
      <c r="J32" s="6" t="s">
        <v>32</v>
      </c>
      <c r="K32" s="6" t="s">
        <v>32</v>
      </c>
      <c r="L32" s="6" t="s">
        <v>32</v>
      </c>
      <c r="M32" s="6" t="s">
        <v>32</v>
      </c>
      <c r="N32" s="6" t="s">
        <v>32</v>
      </c>
      <c r="O32" s="6" t="s">
        <v>32</v>
      </c>
      <c r="P32" s="6" t="s">
        <v>32</v>
      </c>
      <c r="Q32" s="6" t="s">
        <v>32</v>
      </c>
      <c r="R32" s="6" t="s">
        <v>19</v>
      </c>
      <c r="S32" s="6" t="s">
        <v>32</v>
      </c>
      <c r="T32" s="6" t="s">
        <v>32</v>
      </c>
      <c r="U32" s="6" t="s">
        <v>19</v>
      </c>
      <c r="V32" s="6" t="s">
        <v>32</v>
      </c>
      <c r="W32" s="6" t="s">
        <v>32</v>
      </c>
      <c r="X32" s="6" t="s">
        <v>32</v>
      </c>
      <c r="Y32" s="6" t="s">
        <v>32</v>
      </c>
      <c r="Z32" s="6" t="s">
        <v>32</v>
      </c>
      <c r="AA32" s="6" t="s">
        <v>32</v>
      </c>
      <c r="AB32" s="6" t="s">
        <v>32</v>
      </c>
      <c r="AC32" s="6" t="s">
        <v>19</v>
      </c>
      <c r="AD32" s="6" t="s">
        <v>19</v>
      </c>
      <c r="AE32" s="6" t="s">
        <v>32</v>
      </c>
      <c r="AF32" s="6" t="s">
        <v>32</v>
      </c>
      <c r="AG32" s="6" t="s">
        <v>32</v>
      </c>
      <c r="AH32" s="6" t="s">
        <v>32</v>
      </c>
      <c r="AI32" s="118">
        <v>3</v>
      </c>
      <c r="AJ32" s="6"/>
      <c r="AK32" s="118"/>
      <c r="AL32" s="19"/>
      <c r="AM32" s="19"/>
      <c r="BF32" s="25"/>
    </row>
    <row r="33" spans="1:58" ht="20.149999999999999" customHeight="1">
      <c r="A33" s="18"/>
      <c r="B33" s="194"/>
      <c r="C33" s="194"/>
      <c r="F33" s="115"/>
      <c r="G33" s="115">
        <v>2</v>
      </c>
      <c r="H33" s="6" t="s">
        <v>32</v>
      </c>
      <c r="I33" s="6" t="s">
        <v>32</v>
      </c>
      <c r="J33" s="6" t="s">
        <v>32</v>
      </c>
      <c r="K33" s="6" t="s">
        <v>32</v>
      </c>
      <c r="L33" s="6" t="s">
        <v>32</v>
      </c>
      <c r="M33" s="6" t="s">
        <v>32</v>
      </c>
      <c r="N33" s="6" t="s">
        <v>19</v>
      </c>
      <c r="O33" s="6" t="s">
        <v>32</v>
      </c>
      <c r="P33" s="6" t="s">
        <v>32</v>
      </c>
      <c r="Q33" s="6" t="s">
        <v>19</v>
      </c>
      <c r="R33" s="6" t="s">
        <v>19</v>
      </c>
      <c r="S33" s="6" t="s">
        <v>32</v>
      </c>
      <c r="T33" s="6" t="s">
        <v>32</v>
      </c>
      <c r="U33" s="6" t="s">
        <v>32</v>
      </c>
      <c r="V33" s="6" t="s">
        <v>32</v>
      </c>
      <c r="W33" s="6" t="s">
        <v>32</v>
      </c>
      <c r="X33" s="6" t="s">
        <v>32</v>
      </c>
      <c r="Y33" s="6" t="s">
        <v>32</v>
      </c>
      <c r="Z33" s="6" t="s">
        <v>32</v>
      </c>
      <c r="AA33" s="6" t="s">
        <v>32</v>
      </c>
      <c r="AB33" s="6" t="s">
        <v>32</v>
      </c>
      <c r="AC33" s="6" t="s">
        <v>32</v>
      </c>
      <c r="AD33" s="6" t="s">
        <v>32</v>
      </c>
      <c r="AE33" s="6" t="s">
        <v>19</v>
      </c>
      <c r="AF33" s="6" t="s">
        <v>32</v>
      </c>
      <c r="AG33" s="6" t="s">
        <v>32</v>
      </c>
      <c r="AH33" s="6" t="s">
        <v>32</v>
      </c>
      <c r="AI33" s="118">
        <v>2</v>
      </c>
      <c r="AJ33" s="6"/>
      <c r="AK33" s="118"/>
      <c r="AL33" s="19"/>
      <c r="AM33" s="19"/>
      <c r="BF33" s="25"/>
    </row>
    <row r="34" spans="1:58" ht="20.149999999999999" customHeight="1">
      <c r="A34" s="18"/>
      <c r="B34" s="194"/>
      <c r="C34" s="194"/>
      <c r="F34" s="115"/>
      <c r="G34" s="115">
        <v>1</v>
      </c>
      <c r="H34" s="6" t="s">
        <v>32</v>
      </c>
      <c r="I34" s="6" t="s">
        <v>32</v>
      </c>
      <c r="J34" s="6" t="s">
        <v>32</v>
      </c>
      <c r="K34" s="6" t="s">
        <v>32</v>
      </c>
      <c r="L34" s="6" t="s">
        <v>32</v>
      </c>
      <c r="M34" s="6" t="s">
        <v>19</v>
      </c>
      <c r="N34" s="6" t="s">
        <v>19</v>
      </c>
      <c r="O34" s="6" t="s">
        <v>32</v>
      </c>
      <c r="P34" s="6" t="s">
        <v>19</v>
      </c>
      <c r="Q34" s="6" t="s">
        <v>32</v>
      </c>
      <c r="R34" s="6" t="s">
        <v>32</v>
      </c>
      <c r="S34" s="6" t="s">
        <v>32</v>
      </c>
      <c r="T34" s="6" t="s">
        <v>32</v>
      </c>
      <c r="U34" s="6" t="s">
        <v>32</v>
      </c>
      <c r="V34" s="6" t="s">
        <v>32</v>
      </c>
      <c r="W34" s="6" t="s">
        <v>19</v>
      </c>
      <c r="X34" s="6" t="s">
        <v>32</v>
      </c>
      <c r="Y34" s="6" t="s">
        <v>32</v>
      </c>
      <c r="Z34" s="6" t="s">
        <v>32</v>
      </c>
      <c r="AA34" s="6" t="s">
        <v>32</v>
      </c>
      <c r="AB34" s="6" t="s">
        <v>32</v>
      </c>
      <c r="AC34" s="6" t="s">
        <v>32</v>
      </c>
      <c r="AD34" s="6" t="s">
        <v>19</v>
      </c>
      <c r="AE34" s="6" t="s">
        <v>19</v>
      </c>
      <c r="AF34" s="6" t="s">
        <v>32</v>
      </c>
      <c r="AG34" s="6" t="s">
        <v>32</v>
      </c>
      <c r="AH34" s="6" t="s">
        <v>32</v>
      </c>
      <c r="AI34" s="118">
        <v>1</v>
      </c>
      <c r="AJ34" s="6"/>
      <c r="AK34" s="118"/>
      <c r="AL34" s="19"/>
      <c r="AM34" s="19"/>
      <c r="BF34" s="25"/>
    </row>
    <row r="35" spans="1:58" ht="20.149999999999999" customHeight="1">
      <c r="A35" s="18"/>
      <c r="B35" s="194"/>
      <c r="C35" s="194"/>
      <c r="F35" s="115"/>
      <c r="G35" s="115">
        <v>0</v>
      </c>
      <c r="H35" s="6" t="s">
        <v>32</v>
      </c>
      <c r="I35" s="6" t="s">
        <v>32</v>
      </c>
      <c r="J35" s="6" t="s">
        <v>32</v>
      </c>
      <c r="K35" s="6" t="s">
        <v>32</v>
      </c>
      <c r="L35" s="6" t="s">
        <v>32</v>
      </c>
      <c r="M35" s="6" t="s">
        <v>19</v>
      </c>
      <c r="N35" s="6" t="s">
        <v>32</v>
      </c>
      <c r="O35" s="6" t="s">
        <v>32</v>
      </c>
      <c r="P35" s="6" t="s">
        <v>19</v>
      </c>
      <c r="Q35" s="6" t="s">
        <v>32</v>
      </c>
      <c r="R35" s="6" t="s">
        <v>32</v>
      </c>
      <c r="S35" s="6" t="s">
        <v>32</v>
      </c>
      <c r="T35" s="6" t="s">
        <v>32</v>
      </c>
      <c r="U35" s="6" t="s">
        <v>32</v>
      </c>
      <c r="V35" s="6" t="s">
        <v>32</v>
      </c>
      <c r="W35" s="6" t="s">
        <v>32</v>
      </c>
      <c r="X35" s="6" t="s">
        <v>32</v>
      </c>
      <c r="Y35" s="6" t="s">
        <v>32</v>
      </c>
      <c r="Z35" s="6" t="s">
        <v>32</v>
      </c>
      <c r="AA35" s="6" t="s">
        <v>32</v>
      </c>
      <c r="AB35" s="6" t="s">
        <v>32</v>
      </c>
      <c r="AC35" s="6" t="s">
        <v>32</v>
      </c>
      <c r="AD35" s="6" t="s">
        <v>32</v>
      </c>
      <c r="AE35" s="6" t="s">
        <v>19</v>
      </c>
      <c r="AF35" s="6" t="s">
        <v>32</v>
      </c>
      <c r="AG35" s="6" t="s">
        <v>32</v>
      </c>
      <c r="AH35" s="6" t="s">
        <v>32</v>
      </c>
      <c r="AI35" s="118">
        <v>0</v>
      </c>
      <c r="AJ35" s="6"/>
      <c r="AK35" s="118"/>
      <c r="AL35" s="19"/>
      <c r="AM35" s="19"/>
      <c r="BF35" s="25"/>
    </row>
    <row r="36" spans="1:58" ht="20.149999999999999" customHeight="1">
      <c r="A36" s="18"/>
      <c r="B36" s="194"/>
      <c r="C36" s="194"/>
      <c r="F36" s="115"/>
      <c r="G36" s="115">
        <v>1</v>
      </c>
      <c r="H36" s="6" t="s">
        <v>32</v>
      </c>
      <c r="I36" s="6" t="s">
        <v>32</v>
      </c>
      <c r="J36" s="6" t="s">
        <v>32</v>
      </c>
      <c r="K36" s="6" t="s">
        <v>19</v>
      </c>
      <c r="L36" s="6" t="s">
        <v>19</v>
      </c>
      <c r="M36" s="6" t="s">
        <v>19</v>
      </c>
      <c r="N36" s="6" t="s">
        <v>19</v>
      </c>
      <c r="O36" s="6" t="s">
        <v>32</v>
      </c>
      <c r="P36" s="6" t="s">
        <v>19</v>
      </c>
      <c r="Q36" s="6" t="s">
        <v>32</v>
      </c>
      <c r="R36" s="6" t="s">
        <v>32</v>
      </c>
      <c r="S36" s="6" t="s">
        <v>32</v>
      </c>
      <c r="T36" s="6" t="s">
        <v>32</v>
      </c>
      <c r="U36" s="6" t="s">
        <v>32</v>
      </c>
      <c r="V36" s="6" t="s">
        <v>32</v>
      </c>
      <c r="W36" s="6" t="s">
        <v>19</v>
      </c>
      <c r="X36" s="6" t="s">
        <v>32</v>
      </c>
      <c r="Y36" s="6" t="s">
        <v>32</v>
      </c>
      <c r="Z36" s="6" t="s">
        <v>32</v>
      </c>
      <c r="AA36" s="6" t="s">
        <v>32</v>
      </c>
      <c r="AB36" s="6" t="s">
        <v>19</v>
      </c>
      <c r="AC36" s="6" t="s">
        <v>32</v>
      </c>
      <c r="AD36" s="6" t="s">
        <v>19</v>
      </c>
      <c r="AE36" s="6" t="s">
        <v>32</v>
      </c>
      <c r="AF36" s="6" t="s">
        <v>32</v>
      </c>
      <c r="AG36" s="6" t="s">
        <v>32</v>
      </c>
      <c r="AH36" s="6" t="s">
        <v>32</v>
      </c>
      <c r="AI36" s="115">
        <v>1</v>
      </c>
      <c r="AJ36" s="6"/>
      <c r="AK36" s="115"/>
      <c r="AL36" s="19"/>
      <c r="AM36" s="19"/>
      <c r="BF36" s="25"/>
    </row>
    <row r="37" spans="1:58" ht="20.149999999999999" customHeight="1">
      <c r="A37" s="18"/>
      <c r="B37" s="194"/>
      <c r="C37" s="194"/>
      <c r="F37" s="115"/>
      <c r="G37" s="115">
        <v>2</v>
      </c>
      <c r="H37" s="6" t="s">
        <v>32</v>
      </c>
      <c r="I37" s="6" t="s">
        <v>32</v>
      </c>
      <c r="J37" s="6" t="s">
        <v>32</v>
      </c>
      <c r="K37" s="6" t="s">
        <v>19</v>
      </c>
      <c r="L37" s="6" t="s">
        <v>32</v>
      </c>
      <c r="M37" s="6" t="s">
        <v>32</v>
      </c>
      <c r="N37" s="6" t="s">
        <v>19</v>
      </c>
      <c r="O37" s="6" t="s">
        <v>32</v>
      </c>
      <c r="P37" s="6" t="s">
        <v>32</v>
      </c>
      <c r="Q37" s="6" t="s">
        <v>32</v>
      </c>
      <c r="R37" s="6" t="s">
        <v>32</v>
      </c>
      <c r="S37" s="6" t="s">
        <v>32</v>
      </c>
      <c r="T37" s="6" t="s">
        <v>32</v>
      </c>
      <c r="U37" s="6" t="s">
        <v>19</v>
      </c>
      <c r="V37" s="6" t="s">
        <v>32</v>
      </c>
      <c r="W37" s="6" t="s">
        <v>32</v>
      </c>
      <c r="X37" s="6" t="s">
        <v>32</v>
      </c>
      <c r="Y37" s="6" t="s">
        <v>32</v>
      </c>
      <c r="Z37" s="6" t="s">
        <v>32</v>
      </c>
      <c r="AA37" s="6" t="s">
        <v>32</v>
      </c>
      <c r="AB37" s="6" t="s">
        <v>19</v>
      </c>
      <c r="AC37" s="6" t="s">
        <v>32</v>
      </c>
      <c r="AD37" s="6" t="s">
        <v>32</v>
      </c>
      <c r="AE37" s="6" t="s">
        <v>32</v>
      </c>
      <c r="AF37" s="6" t="s">
        <v>32</v>
      </c>
      <c r="AG37" s="6" t="s">
        <v>32</v>
      </c>
      <c r="AH37" s="6" t="s">
        <v>32</v>
      </c>
      <c r="AI37" s="115">
        <v>2</v>
      </c>
      <c r="AJ37" s="6"/>
      <c r="AK37" s="115"/>
      <c r="AL37" s="19"/>
      <c r="AM37" s="19"/>
      <c r="AO37" s="40"/>
      <c r="BF37" s="25"/>
    </row>
    <row r="38" spans="1:58" ht="20.149999999999999" customHeight="1">
      <c r="A38" s="18"/>
      <c r="B38" s="194"/>
      <c r="C38" s="194"/>
      <c r="F38" s="115"/>
      <c r="G38" s="115">
        <v>3</v>
      </c>
      <c r="H38" s="6" t="s">
        <v>32</v>
      </c>
      <c r="I38" s="6" t="s">
        <v>32</v>
      </c>
      <c r="J38" s="6" t="s">
        <v>32</v>
      </c>
      <c r="K38" s="6" t="s">
        <v>32</v>
      </c>
      <c r="L38" s="6" t="s">
        <v>32</v>
      </c>
      <c r="M38" s="6" t="s">
        <v>32</v>
      </c>
      <c r="N38" s="6" t="s">
        <v>32</v>
      </c>
      <c r="O38" s="6" t="s">
        <v>32</v>
      </c>
      <c r="P38" s="6" t="s">
        <v>19</v>
      </c>
      <c r="Q38" s="6" t="s">
        <v>32</v>
      </c>
      <c r="R38" s="6" t="s">
        <v>19</v>
      </c>
      <c r="S38" s="6" t="s">
        <v>32</v>
      </c>
      <c r="T38" s="6" t="s">
        <v>19</v>
      </c>
      <c r="U38" s="6" t="s">
        <v>32</v>
      </c>
      <c r="V38" s="6" t="s">
        <v>19</v>
      </c>
      <c r="W38" s="6" t="s">
        <v>19</v>
      </c>
      <c r="X38" s="6" t="s">
        <v>32</v>
      </c>
      <c r="Y38" s="6" t="s">
        <v>32</v>
      </c>
      <c r="Z38" s="6" t="s">
        <v>19</v>
      </c>
      <c r="AA38" s="6" t="s">
        <v>32</v>
      </c>
      <c r="AB38" s="6" t="s">
        <v>32</v>
      </c>
      <c r="AC38" s="6" t="s">
        <v>32</v>
      </c>
      <c r="AD38" s="6" t="s">
        <v>32</v>
      </c>
      <c r="AE38" s="6" t="s">
        <v>32</v>
      </c>
      <c r="AF38" s="6" t="s">
        <v>32</v>
      </c>
      <c r="AG38" s="6" t="s">
        <v>32</v>
      </c>
      <c r="AH38" s="6" t="s">
        <v>32</v>
      </c>
      <c r="AI38" s="115">
        <v>3</v>
      </c>
      <c r="AJ38" s="6"/>
      <c r="AK38" s="115"/>
      <c r="AL38" s="19"/>
      <c r="AM38" s="19"/>
      <c r="AO38" s="40"/>
      <c r="BF38" s="25"/>
    </row>
    <row r="39" spans="1:58" ht="20.149999999999999" customHeight="1">
      <c r="A39" s="18"/>
      <c r="B39" s="194"/>
      <c r="C39" s="194"/>
      <c r="F39" s="115"/>
      <c r="G39" s="115">
        <v>4</v>
      </c>
      <c r="H39" s="6" t="s">
        <v>32</v>
      </c>
      <c r="I39" s="6" t="s">
        <v>32</v>
      </c>
      <c r="J39" s="6" t="s">
        <v>32</v>
      </c>
      <c r="K39" s="6" t="s">
        <v>32</v>
      </c>
      <c r="L39" s="6" t="s">
        <v>32</v>
      </c>
      <c r="M39" s="6" t="s">
        <v>32</v>
      </c>
      <c r="N39" s="6" t="s">
        <v>32</v>
      </c>
      <c r="O39" s="6" t="s">
        <v>32</v>
      </c>
      <c r="P39" s="6" t="s">
        <v>32</v>
      </c>
      <c r="Q39" s="6" t="s">
        <v>32</v>
      </c>
      <c r="R39" s="6" t="s">
        <v>32</v>
      </c>
      <c r="S39" s="6" t="s">
        <v>32</v>
      </c>
      <c r="T39" s="6" t="s">
        <v>32</v>
      </c>
      <c r="U39" s="6" t="s">
        <v>32</v>
      </c>
      <c r="V39" s="6" t="s">
        <v>32</v>
      </c>
      <c r="W39" s="6" t="s">
        <v>32</v>
      </c>
      <c r="X39" s="6" t="s">
        <v>32</v>
      </c>
      <c r="Y39" s="6" t="s">
        <v>32</v>
      </c>
      <c r="Z39" s="6" t="s">
        <v>32</v>
      </c>
      <c r="AA39" s="6" t="s">
        <v>32</v>
      </c>
      <c r="AB39" s="6" t="s">
        <v>32</v>
      </c>
      <c r="AC39" s="6" t="s">
        <v>32</v>
      </c>
      <c r="AD39" s="6" t="s">
        <v>32</v>
      </c>
      <c r="AE39" s="6" t="s">
        <v>32</v>
      </c>
      <c r="AF39" s="6" t="s">
        <v>32</v>
      </c>
      <c r="AG39" s="6" t="s">
        <v>32</v>
      </c>
      <c r="AH39" s="6" t="s">
        <v>32</v>
      </c>
      <c r="AI39" s="118">
        <v>4</v>
      </c>
      <c r="AJ39" s="6"/>
      <c r="AK39" s="118"/>
      <c r="AL39" s="19"/>
      <c r="AM39" s="19"/>
      <c r="AO39" s="40"/>
      <c r="BF39" s="25"/>
    </row>
    <row r="40" spans="1:58" ht="20.149999999999999" customHeight="1">
      <c r="A40" s="18"/>
      <c r="B40" s="194"/>
      <c r="C40" s="194"/>
      <c r="F40" s="115"/>
      <c r="G40" s="115">
        <v>5</v>
      </c>
      <c r="H40" s="6" t="s">
        <v>32</v>
      </c>
      <c r="I40" s="6" t="s">
        <v>32</v>
      </c>
      <c r="J40" s="6" t="s">
        <v>32</v>
      </c>
      <c r="K40" s="6" t="s">
        <v>32</v>
      </c>
      <c r="L40" s="6" t="s">
        <v>32</v>
      </c>
      <c r="M40" s="6" t="s">
        <v>32</v>
      </c>
      <c r="N40" s="6" t="s">
        <v>32</v>
      </c>
      <c r="O40" s="6" t="s">
        <v>32</v>
      </c>
      <c r="P40" s="6" t="s">
        <v>32</v>
      </c>
      <c r="Q40" s="6" t="s">
        <v>32</v>
      </c>
      <c r="R40" s="6" t="s">
        <v>32</v>
      </c>
      <c r="S40" s="6" t="s">
        <v>32</v>
      </c>
      <c r="T40" s="6" t="s">
        <v>32</v>
      </c>
      <c r="U40" s="6" t="s">
        <v>32</v>
      </c>
      <c r="V40" s="6" t="s">
        <v>32</v>
      </c>
      <c r="W40" s="6" t="s">
        <v>32</v>
      </c>
      <c r="X40" s="6" t="s">
        <v>32</v>
      </c>
      <c r="Y40" s="6" t="s">
        <v>32</v>
      </c>
      <c r="Z40" s="6" t="s">
        <v>32</v>
      </c>
      <c r="AA40" s="6" t="s">
        <v>32</v>
      </c>
      <c r="AB40" s="6" t="s">
        <v>32</v>
      </c>
      <c r="AC40" s="6" t="s">
        <v>32</v>
      </c>
      <c r="AD40" s="6" t="s">
        <v>32</v>
      </c>
      <c r="AE40" s="6" t="s">
        <v>32</v>
      </c>
      <c r="AF40" s="6" t="s">
        <v>32</v>
      </c>
      <c r="AG40" s="6" t="s">
        <v>32</v>
      </c>
      <c r="AH40" s="6" t="s">
        <v>32</v>
      </c>
      <c r="AI40" s="118">
        <v>5</v>
      </c>
      <c r="AJ40" s="6"/>
      <c r="AK40" s="118"/>
      <c r="AL40" s="19"/>
      <c r="AM40" s="19"/>
      <c r="AO40" s="20"/>
      <c r="AP40" s="20"/>
      <c r="AQ40" s="20"/>
      <c r="AR40" s="20"/>
      <c r="AS40" s="218" t="s">
        <v>62</v>
      </c>
      <c r="AT40" s="218"/>
      <c r="AU40" s="218"/>
      <c r="AV40" s="218"/>
      <c r="AW40" s="218"/>
      <c r="AX40" s="218"/>
      <c r="AY40" s="218"/>
      <c r="AZ40" s="218">
        <v>45</v>
      </c>
      <c r="BA40" s="218"/>
      <c r="BB40" s="218"/>
      <c r="BC40" s="218"/>
      <c r="BD40" s="218"/>
      <c r="BE40" s="218"/>
      <c r="BF40" s="219"/>
    </row>
    <row r="41" spans="1:58" ht="20.149999999999999" customHeight="1">
      <c r="A41" s="18"/>
      <c r="B41" s="194"/>
      <c r="C41" s="194"/>
      <c r="F41" s="115"/>
      <c r="G41" s="115">
        <v>6</v>
      </c>
      <c r="H41" s="6" t="s">
        <v>32</v>
      </c>
      <c r="I41" s="6" t="s">
        <v>32</v>
      </c>
      <c r="J41" s="6" t="s">
        <v>32</v>
      </c>
      <c r="K41" s="6" t="s">
        <v>32</v>
      </c>
      <c r="L41" s="6" t="s">
        <v>32</v>
      </c>
      <c r="M41" s="6" t="s">
        <v>32</v>
      </c>
      <c r="N41" s="6" t="s">
        <v>32</v>
      </c>
      <c r="O41" s="6" t="s">
        <v>32</v>
      </c>
      <c r="P41" s="6" t="s">
        <v>32</v>
      </c>
      <c r="Q41" s="6" t="s">
        <v>32</v>
      </c>
      <c r="R41" s="6" t="s">
        <v>32</v>
      </c>
      <c r="S41" s="6" t="s">
        <v>32</v>
      </c>
      <c r="T41" s="6" t="s">
        <v>32</v>
      </c>
      <c r="U41" s="6" t="s">
        <v>32</v>
      </c>
      <c r="V41" s="6" t="s">
        <v>32</v>
      </c>
      <c r="W41" s="6" t="s">
        <v>32</v>
      </c>
      <c r="X41" s="6" t="s">
        <v>32</v>
      </c>
      <c r="Y41" s="6" t="s">
        <v>32</v>
      </c>
      <c r="Z41" s="6" t="s">
        <v>32</v>
      </c>
      <c r="AA41" s="6" t="s">
        <v>32</v>
      </c>
      <c r="AB41" s="6" t="s">
        <v>32</v>
      </c>
      <c r="AC41" s="6" t="s">
        <v>32</v>
      </c>
      <c r="AD41" s="6" t="s">
        <v>32</v>
      </c>
      <c r="AE41" s="6" t="s">
        <v>32</v>
      </c>
      <c r="AF41" s="6" t="s">
        <v>32</v>
      </c>
      <c r="AG41" s="6" t="s">
        <v>32</v>
      </c>
      <c r="AH41" s="6" t="s">
        <v>32</v>
      </c>
      <c r="AI41" s="115">
        <v>6</v>
      </c>
      <c r="AJ41" s="6"/>
      <c r="AK41" s="115"/>
      <c r="AL41" s="19"/>
      <c r="AM41" s="19"/>
      <c r="AO41" s="20"/>
      <c r="AP41" s="20"/>
      <c r="AQ41" s="20"/>
      <c r="AR41" s="20"/>
      <c r="AS41" s="218"/>
      <c r="AT41" s="218"/>
      <c r="AU41" s="218"/>
      <c r="AV41" s="218"/>
      <c r="AW41" s="218"/>
      <c r="AX41" s="218"/>
      <c r="AY41" s="218"/>
      <c r="AZ41" s="218"/>
      <c r="BA41" s="218"/>
      <c r="BB41" s="218"/>
      <c r="BC41" s="218"/>
      <c r="BD41" s="218"/>
      <c r="BE41" s="218"/>
      <c r="BF41" s="219"/>
    </row>
    <row r="42" spans="1:58" ht="20.149999999999999" customHeight="1">
      <c r="A42" s="18"/>
      <c r="F42" s="120"/>
      <c r="G42" s="120"/>
      <c r="H42" s="117">
        <v>-13</v>
      </c>
      <c r="I42" s="117">
        <v>-12</v>
      </c>
      <c r="J42" s="117">
        <v>-11</v>
      </c>
      <c r="K42" s="117">
        <v>-10</v>
      </c>
      <c r="L42" s="117">
        <v>-9</v>
      </c>
      <c r="M42" s="117">
        <v>-8</v>
      </c>
      <c r="N42" s="117">
        <v>-7</v>
      </c>
      <c r="O42" s="117">
        <v>-6</v>
      </c>
      <c r="P42" s="117">
        <v>-5</v>
      </c>
      <c r="Q42" s="117">
        <v>-4</v>
      </c>
      <c r="R42" s="117">
        <v>-3</v>
      </c>
      <c r="S42" s="118">
        <v>2</v>
      </c>
      <c r="T42" s="118">
        <v>1</v>
      </c>
      <c r="U42" s="118">
        <v>0</v>
      </c>
      <c r="V42" s="118">
        <v>1</v>
      </c>
      <c r="W42" s="118">
        <v>2</v>
      </c>
      <c r="X42" s="118">
        <v>3</v>
      </c>
      <c r="Y42" s="118">
        <v>4</v>
      </c>
      <c r="Z42" s="118">
        <v>5</v>
      </c>
      <c r="AA42" s="118">
        <v>6</v>
      </c>
      <c r="AB42" s="118">
        <v>7</v>
      </c>
      <c r="AC42" s="118">
        <v>8</v>
      </c>
      <c r="AD42" s="118">
        <v>9</v>
      </c>
      <c r="AE42" s="117">
        <v>10</v>
      </c>
      <c r="AF42" s="117">
        <v>11</v>
      </c>
      <c r="AG42" s="117">
        <v>12</v>
      </c>
      <c r="AH42" s="117">
        <v>13</v>
      </c>
      <c r="AI42" s="119"/>
      <c r="AJ42" s="117"/>
      <c r="AK42" s="119"/>
      <c r="AL42" s="19"/>
      <c r="AM42" s="19"/>
      <c r="AO42" s="27"/>
      <c r="AP42" s="27"/>
      <c r="AQ42" s="27"/>
      <c r="AR42" s="27"/>
      <c r="AS42" s="239" t="s">
        <v>145</v>
      </c>
      <c r="AT42" s="240"/>
      <c r="AU42" s="240"/>
      <c r="AV42" s="240"/>
      <c r="AW42" s="240"/>
      <c r="AX42" s="240"/>
      <c r="AY42" s="241"/>
      <c r="AZ42" s="218">
        <v>1400</v>
      </c>
      <c r="BA42" s="218"/>
      <c r="BB42" s="218"/>
      <c r="BC42" s="218"/>
      <c r="BD42" s="218"/>
      <c r="BE42" s="218"/>
      <c r="BF42" s="219"/>
    </row>
    <row r="43" spans="1:58" ht="20.149999999999999" customHeight="1">
      <c r="A43" s="41"/>
      <c r="B43" s="29"/>
      <c r="C43" s="29"/>
      <c r="D43" s="29"/>
      <c r="E43" s="29"/>
      <c r="F43" s="42"/>
      <c r="G43" s="7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5"/>
      <c r="AK43" s="28"/>
      <c r="AL43" s="28"/>
      <c r="AM43" s="28"/>
      <c r="AN43" s="29"/>
      <c r="AO43" s="30"/>
      <c r="AP43" s="30"/>
      <c r="AQ43" s="30"/>
      <c r="AR43" s="46"/>
      <c r="AS43" s="242" t="s">
        <v>146</v>
      </c>
      <c r="AT43" s="243"/>
      <c r="AU43" s="243"/>
      <c r="AV43" s="243"/>
      <c r="AW43" s="243"/>
      <c r="AX43" s="243"/>
      <c r="AY43" s="244"/>
      <c r="AZ43" s="218"/>
      <c r="BA43" s="218"/>
      <c r="BB43" s="218"/>
      <c r="BC43" s="218"/>
      <c r="BD43" s="218"/>
      <c r="BE43" s="218"/>
      <c r="BF43" s="219"/>
    </row>
    <row r="44" spans="1:58" ht="19.25" customHeight="1">
      <c r="A44" s="47" t="s">
        <v>33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9"/>
      <c r="M44" s="49"/>
      <c r="N44" s="50"/>
      <c r="O44" s="50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50"/>
      <c r="AB44" s="49"/>
      <c r="AC44" s="51"/>
      <c r="AD44" s="52" t="s">
        <v>60</v>
      </c>
      <c r="AE44" s="53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37"/>
      <c r="AQ44" s="52"/>
      <c r="AR44" s="52"/>
      <c r="AS44" s="52"/>
      <c r="AT44" s="52"/>
      <c r="AU44" s="52"/>
      <c r="AV44" s="52"/>
      <c r="AW44" s="50"/>
      <c r="AX44" s="52"/>
      <c r="AY44" s="54"/>
      <c r="AZ44" s="32"/>
      <c r="BB44" s="22"/>
      <c r="BC44" s="55"/>
      <c r="BD44" s="55"/>
      <c r="BE44" s="55"/>
      <c r="BF44" s="56"/>
    </row>
    <row r="45" spans="1:58" ht="19.25" customHeight="1">
      <c r="A45" s="57" t="s">
        <v>59</v>
      </c>
      <c r="B45" s="50"/>
      <c r="C45" s="49"/>
      <c r="D45" s="198" t="str">
        <f>I3</f>
        <v>11A 809 605</v>
      </c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7" t="s">
        <v>136</v>
      </c>
      <c r="P45" s="197"/>
      <c r="Q45" s="197"/>
      <c r="R45" s="197"/>
      <c r="S45" s="197"/>
      <c r="T45" s="197"/>
      <c r="U45" s="197"/>
      <c r="V45" s="58"/>
      <c r="W45" s="58"/>
      <c r="X45" s="58"/>
      <c r="Y45" s="58"/>
      <c r="Z45" s="58"/>
      <c r="AA45" s="58"/>
      <c r="AB45" s="58"/>
      <c r="AC45" s="59"/>
      <c r="AD45" s="210" t="s">
        <v>252</v>
      </c>
      <c r="AE45" s="211"/>
      <c r="AF45" s="211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1"/>
      <c r="AR45" s="22"/>
      <c r="AS45" s="22"/>
      <c r="AT45" s="20"/>
      <c r="AU45" s="22"/>
      <c r="AV45" s="22"/>
      <c r="AW45" s="50"/>
      <c r="AX45" s="22"/>
      <c r="AY45" s="50"/>
      <c r="BB45" s="22"/>
      <c r="BC45" s="55"/>
      <c r="BD45" s="55"/>
      <c r="BE45" s="55"/>
      <c r="BF45" s="56"/>
    </row>
    <row r="46" spans="1:58" ht="19.25" customHeight="1">
      <c r="A46" s="60" t="s">
        <v>58</v>
      </c>
      <c r="B46" s="50"/>
      <c r="C46" s="61"/>
      <c r="D46" s="197" t="str">
        <f>I3</f>
        <v>11A 809 605</v>
      </c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 t="s">
        <v>139</v>
      </c>
      <c r="P46" s="197"/>
      <c r="Q46" s="197"/>
      <c r="R46" s="197"/>
      <c r="S46" s="197"/>
      <c r="T46" s="197"/>
      <c r="U46" s="197"/>
      <c r="V46" s="58"/>
      <c r="W46" s="58"/>
      <c r="X46" s="58"/>
      <c r="Y46" s="58"/>
      <c r="Z46" s="58"/>
      <c r="AA46" s="58"/>
      <c r="AB46" s="58"/>
      <c r="AC46" s="59"/>
      <c r="AD46" s="210"/>
      <c r="AE46" s="211"/>
      <c r="AF46" s="211"/>
      <c r="AG46" s="211"/>
      <c r="AH46" s="211"/>
      <c r="AI46" s="211"/>
      <c r="AJ46" s="211"/>
      <c r="AK46" s="211"/>
      <c r="AL46" s="211"/>
      <c r="AM46" s="211"/>
      <c r="AN46" s="211"/>
      <c r="AO46" s="211"/>
      <c r="AP46" s="211"/>
      <c r="AQ46" s="211"/>
      <c r="AR46" s="22"/>
      <c r="AS46" s="22"/>
      <c r="AT46" s="20"/>
      <c r="AU46" s="22"/>
      <c r="AV46" s="22"/>
      <c r="AW46" s="50"/>
      <c r="AX46" s="22"/>
      <c r="AY46" s="50"/>
      <c r="BB46" s="22"/>
      <c r="BC46" s="55"/>
      <c r="BD46" s="55"/>
      <c r="BE46" s="55"/>
      <c r="BF46" s="56"/>
    </row>
    <row r="47" spans="1:58" ht="19.25" customHeight="1">
      <c r="A47" s="60"/>
      <c r="B47" s="50"/>
      <c r="C47" s="61"/>
      <c r="D47" s="61"/>
      <c r="E47" s="61"/>
      <c r="F47" s="61"/>
      <c r="G47" s="61"/>
      <c r="H47" s="61"/>
      <c r="I47" s="50"/>
      <c r="J47" s="61"/>
      <c r="K47" s="61"/>
      <c r="L47" s="50"/>
      <c r="M47" s="61"/>
      <c r="N47" s="50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62"/>
      <c r="AD47" s="78"/>
      <c r="AE47" s="22"/>
      <c r="AF47" s="22"/>
      <c r="AG47" s="22"/>
      <c r="AH47" s="22"/>
      <c r="AI47" s="22"/>
      <c r="AJ47" s="20"/>
      <c r="AK47" s="22"/>
      <c r="AL47" s="22"/>
      <c r="AM47" s="22"/>
      <c r="AN47" s="22"/>
      <c r="AO47" s="22"/>
      <c r="AP47" s="22"/>
      <c r="AQ47" s="22"/>
      <c r="AR47" s="22"/>
      <c r="AS47" s="22"/>
      <c r="AT47" s="20"/>
      <c r="AU47" s="22"/>
      <c r="AV47" s="22"/>
      <c r="AW47" s="50"/>
      <c r="AX47" s="22"/>
      <c r="AY47" s="50"/>
      <c r="BB47" s="22"/>
      <c r="BC47" s="55"/>
      <c r="BD47" s="55"/>
      <c r="BE47" s="55"/>
      <c r="BF47" s="56"/>
    </row>
    <row r="48" spans="1:58" ht="19.25" customHeight="1">
      <c r="A48" s="47" t="s">
        <v>26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54"/>
      <c r="AB48" s="48"/>
      <c r="AC48" s="64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50"/>
      <c r="AT48" s="49"/>
      <c r="AU48" s="49"/>
      <c r="AV48" s="49"/>
      <c r="AW48" s="49"/>
      <c r="AX48" s="49"/>
      <c r="AY48" s="49"/>
      <c r="AZ48" s="55"/>
      <c r="BA48" s="55"/>
      <c r="BB48" s="55"/>
      <c r="BC48" s="55"/>
      <c r="BD48" s="55"/>
      <c r="BE48" s="55"/>
      <c r="BF48" s="56"/>
    </row>
    <row r="49" spans="1:58" ht="19.25" customHeight="1">
      <c r="A49" s="212" t="s">
        <v>261</v>
      </c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  <c r="AC49" s="214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50"/>
      <c r="AT49" s="49"/>
      <c r="AU49" s="49"/>
      <c r="AV49" s="49"/>
      <c r="AW49" s="49"/>
      <c r="AX49" s="49"/>
      <c r="AY49" s="49"/>
      <c r="AZ49" s="55"/>
      <c r="BA49" s="55"/>
      <c r="BB49" s="55"/>
      <c r="BC49" s="55"/>
      <c r="BD49" s="55"/>
      <c r="BE49" s="55"/>
      <c r="BF49" s="56"/>
    </row>
    <row r="50" spans="1:58" ht="19.25" customHeight="1">
      <c r="A50" s="215" t="s">
        <v>258</v>
      </c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6"/>
      <c r="AD50" s="50"/>
      <c r="AE50" s="50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50"/>
      <c r="AU50" s="50"/>
      <c r="AV50" s="50"/>
      <c r="AW50" s="50"/>
      <c r="AX50" s="50"/>
      <c r="AY50" s="50"/>
      <c r="BB50" s="55"/>
      <c r="BC50" s="55"/>
      <c r="BD50" s="55"/>
      <c r="BE50" s="55"/>
      <c r="BF50" s="56"/>
    </row>
    <row r="51" spans="1:58" ht="19.25" customHeight="1">
      <c r="A51" s="60"/>
      <c r="B51" s="27"/>
      <c r="C51" s="22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65"/>
      <c r="AD51" s="50"/>
      <c r="AE51" s="50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50"/>
      <c r="AU51" s="50"/>
      <c r="AV51" s="50"/>
      <c r="AW51" s="50"/>
      <c r="AX51" s="50"/>
      <c r="AY51" s="50"/>
      <c r="BB51" s="55"/>
      <c r="BC51" s="55"/>
      <c r="BD51" s="55"/>
      <c r="BE51" s="55"/>
      <c r="BF51" s="56"/>
    </row>
    <row r="52" spans="1:58" ht="19.25" customHeight="1">
      <c r="A52" s="66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65"/>
      <c r="AD52" s="218" t="s">
        <v>27</v>
      </c>
      <c r="AE52" s="218"/>
      <c r="AF52" s="218"/>
      <c r="AG52" s="218"/>
      <c r="AH52" s="218"/>
      <c r="AI52" s="218"/>
      <c r="AJ52" s="218"/>
      <c r="AK52" s="218"/>
      <c r="AL52" s="218" t="s">
        <v>270</v>
      </c>
      <c r="AM52" s="218"/>
      <c r="AN52" s="218"/>
      <c r="AO52" s="218"/>
      <c r="AP52" s="218"/>
      <c r="AQ52" s="218"/>
      <c r="AR52" s="218"/>
      <c r="AS52" s="218" t="s">
        <v>28</v>
      </c>
      <c r="AT52" s="218"/>
      <c r="AU52" s="218"/>
      <c r="AV52" s="218"/>
      <c r="AW52" s="218"/>
      <c r="AX52" s="218"/>
      <c r="AY52" s="218"/>
      <c r="AZ52" s="231" t="s">
        <v>275</v>
      </c>
      <c r="BA52" s="232"/>
      <c r="BB52" s="232"/>
      <c r="BC52" s="232"/>
      <c r="BD52" s="232"/>
      <c r="BE52" s="232" t="s">
        <v>55</v>
      </c>
      <c r="BF52" s="235"/>
    </row>
    <row r="53" spans="1:58" ht="19.25" customHeight="1">
      <c r="A53" s="67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6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8"/>
      <c r="AY53" s="218"/>
      <c r="AZ53" s="233"/>
      <c r="BA53" s="234"/>
      <c r="BB53" s="234"/>
      <c r="BC53" s="234"/>
      <c r="BD53" s="234"/>
      <c r="BE53" s="234"/>
      <c r="BF53" s="236"/>
    </row>
    <row r="54" spans="1:58" s="20" customFormat="1" ht="27" customHeight="1" thickBot="1">
      <c r="A54" s="11"/>
      <c r="B54" s="12" t="s">
        <v>29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2" t="s">
        <v>53</v>
      </c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2" t="s">
        <v>31</v>
      </c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4"/>
      <c r="BA54" s="14"/>
      <c r="BB54" s="14"/>
      <c r="BC54" s="14"/>
      <c r="BD54" s="13"/>
      <c r="BE54" s="13"/>
      <c r="BF54" s="15"/>
    </row>
    <row r="55" spans="1:58">
      <c r="A55" s="1" t="s">
        <v>263</v>
      </c>
    </row>
  </sheetData>
  <protectedRanges>
    <protectedRange sqref="AZ1:BF3 I3 W3 AL3 I5:AA6 I9:I10 AS5:BC9 AZ40 AZ42 AL52 AZ52 AD44:BF51 AX12 BA29 F30:AF30 F38:AF42 F31:K31 S31 N31:Q31 U31:X31 AA31:AF31 F32:J32 Q32:U32 O32 L32:M32 W32 Y32:Z32 AB32:AF32 F33:I33 K33:AA33 AC33:AF33 F34:J34 L34:M34 AB34:AF34 Y34:Z34 F35:I35 K35 N35 P34:V35 X35 AA35 AC35:AF35 F36:J36 S36 P36:Q36 L36:M36 U36:V36 Y36:Z36 AB36:AF36 F37:I37 Q37:AF37 K37:O37" name="区域1"/>
    <protectedRange sqref="AS10" name="区域3"/>
    <protectedRange sqref="I7:I8" name="区域1_3"/>
    <protectedRange sqref="H12:AH26" name="区域1_5"/>
  </protectedRanges>
  <mergeCells count="102">
    <mergeCell ref="A1:AR2"/>
    <mergeCell ref="AS1:AY1"/>
    <mergeCell ref="AZ1:BF1"/>
    <mergeCell ref="AS2:AY2"/>
    <mergeCell ref="AZ2:BF2"/>
    <mergeCell ref="A3:H3"/>
    <mergeCell ref="I3:O3"/>
    <mergeCell ref="P3:V3"/>
    <mergeCell ref="W3:AC3"/>
    <mergeCell ref="AD3:AK3"/>
    <mergeCell ref="A6:H6"/>
    <mergeCell ref="I6:AA6"/>
    <mergeCell ref="AB6:AC6"/>
    <mergeCell ref="AD6:AR6"/>
    <mergeCell ref="AS6:BC6"/>
    <mergeCell ref="BD6:BF6"/>
    <mergeCell ref="AL3:AR3"/>
    <mergeCell ref="AS3:AY3"/>
    <mergeCell ref="AZ3:BF3"/>
    <mergeCell ref="A4:BF4"/>
    <mergeCell ref="A5:H5"/>
    <mergeCell ref="I5:AA5"/>
    <mergeCell ref="AB5:AC5"/>
    <mergeCell ref="AD5:AR5"/>
    <mergeCell ref="AS5:BC5"/>
    <mergeCell ref="BD5:BF5"/>
    <mergeCell ref="A8:H8"/>
    <mergeCell ref="I8:AA8"/>
    <mergeCell ref="AB8:AC8"/>
    <mergeCell ref="AD8:AR8"/>
    <mergeCell ref="AS8:BC8"/>
    <mergeCell ref="BD8:BF8"/>
    <mergeCell ref="A7:H7"/>
    <mergeCell ref="I7:AA7"/>
    <mergeCell ref="AB7:AC7"/>
    <mergeCell ref="AD7:AR7"/>
    <mergeCell ref="AS7:BC7"/>
    <mergeCell ref="BD7:BF7"/>
    <mergeCell ref="BD9:BF9"/>
    <mergeCell ref="A10:H10"/>
    <mergeCell ref="I10:R10"/>
    <mergeCell ref="S10:AA10"/>
    <mergeCell ref="AB10:AC10"/>
    <mergeCell ref="AD10:AR10"/>
    <mergeCell ref="AS10:BC10"/>
    <mergeCell ref="BD10:BF10"/>
    <mergeCell ref="A9:H9"/>
    <mergeCell ref="I9:R9"/>
    <mergeCell ref="S9:AA9"/>
    <mergeCell ref="AB9:AC9"/>
    <mergeCell ref="AD9:AR9"/>
    <mergeCell ref="AS9:BC9"/>
    <mergeCell ref="AF11:AG11"/>
    <mergeCell ref="AH11:AI11"/>
    <mergeCell ref="B13:C24"/>
    <mergeCell ref="AM16:AM18"/>
    <mergeCell ref="AM19:AM23"/>
    <mergeCell ref="G27:H27"/>
    <mergeCell ref="I27:J27"/>
    <mergeCell ref="K27:L27"/>
    <mergeCell ref="M27:N27"/>
    <mergeCell ref="O27:P27"/>
    <mergeCell ref="S11:T11"/>
    <mergeCell ref="V11:W11"/>
    <mergeCell ref="X11:Y11"/>
    <mergeCell ref="Z11:AA11"/>
    <mergeCell ref="AB11:AC11"/>
    <mergeCell ref="AD11:AE11"/>
    <mergeCell ref="G11:H11"/>
    <mergeCell ref="I11:J11"/>
    <mergeCell ref="K11:L11"/>
    <mergeCell ref="M11:N11"/>
    <mergeCell ref="O11:P11"/>
    <mergeCell ref="Q11:R11"/>
    <mergeCell ref="B31:C41"/>
    <mergeCell ref="AS40:AY41"/>
    <mergeCell ref="AZ40:BF41"/>
    <mergeCell ref="Q27:R27"/>
    <mergeCell ref="S27:T27"/>
    <mergeCell ref="V27:W27"/>
    <mergeCell ref="X27:Y27"/>
    <mergeCell ref="Z27:AA27"/>
    <mergeCell ref="AB27:AC27"/>
    <mergeCell ref="AS42:AY42"/>
    <mergeCell ref="AZ42:BF43"/>
    <mergeCell ref="AS43:AY43"/>
    <mergeCell ref="D45:N45"/>
    <mergeCell ref="O45:U45"/>
    <mergeCell ref="AD45:AQ45"/>
    <mergeCell ref="AD27:AE27"/>
    <mergeCell ref="AF27:AG27"/>
    <mergeCell ref="AH27:AI27"/>
    <mergeCell ref="AS52:AY53"/>
    <mergeCell ref="AZ52:BD53"/>
    <mergeCell ref="BE52:BF53"/>
    <mergeCell ref="D46:N46"/>
    <mergeCell ref="O46:U46"/>
    <mergeCell ref="AD46:AQ46"/>
    <mergeCell ref="A49:AC49"/>
    <mergeCell ref="A50:AC50"/>
    <mergeCell ref="AD52:AK53"/>
    <mergeCell ref="AL52:AR53"/>
  </mergeCells>
  <phoneticPr fontId="2" type="noConversion"/>
  <conditionalFormatting sqref="I7:AA8">
    <cfRule type="containsBlanks" dxfId="54" priority="49">
      <formula>LEN(TRIM(I7))=0</formula>
    </cfRule>
  </conditionalFormatting>
  <conditionalFormatting sqref="N18">
    <cfRule type="expression" dxfId="53" priority="16">
      <formula>AND($AZ$2&lt;&gt;"4-100")</formula>
    </cfRule>
  </conditionalFormatting>
  <conditionalFormatting sqref="N19">
    <cfRule type="expression" dxfId="52" priority="13">
      <formula>AND($AZ$2&lt;&gt;"4-100")</formula>
    </cfRule>
  </conditionalFormatting>
  <conditionalFormatting sqref="N20">
    <cfRule type="expression" dxfId="51" priority="12">
      <formula>AND($AZ$2&lt;&gt;"4-100")</formula>
    </cfRule>
  </conditionalFormatting>
  <conditionalFormatting sqref="O18:R18">
    <cfRule type="expression" dxfId="50" priority="15">
      <formula>AND($AZ$2&lt;&gt;"4-100")</formula>
    </cfRule>
  </conditionalFormatting>
  <conditionalFormatting sqref="O20:R20">
    <cfRule type="expression" dxfId="49" priority="11">
      <formula>AND($AZ$2&lt;&gt;"4-100")</formula>
    </cfRule>
  </conditionalFormatting>
  <conditionalFormatting sqref="S18">
    <cfRule type="expression" dxfId="48" priority="14">
      <formula>AND($AZ$2&lt;&gt;"4-100")</formula>
    </cfRule>
  </conditionalFormatting>
  <conditionalFormatting sqref="S19">
    <cfRule type="expression" dxfId="47" priority="9">
      <formula>AND($AZ$2&lt;&gt;"4-100")</formula>
    </cfRule>
  </conditionalFormatting>
  <conditionalFormatting sqref="S20">
    <cfRule type="expression" dxfId="46" priority="10">
      <formula>AND($AZ$2&lt;&gt;"4-100")</formula>
    </cfRule>
  </conditionalFormatting>
  <conditionalFormatting sqref="W18">
    <cfRule type="expression" dxfId="45" priority="8">
      <formula>AND($AZ$2&lt;&gt;"4-100")</formula>
    </cfRule>
  </conditionalFormatting>
  <conditionalFormatting sqref="W19">
    <cfRule type="expression" dxfId="44" priority="5">
      <formula>AND($AZ$2&lt;&gt;"4-100")</formula>
    </cfRule>
  </conditionalFormatting>
  <conditionalFormatting sqref="W20">
    <cfRule type="expression" dxfId="43" priority="4">
      <formula>AND($AZ$2&lt;&gt;"4-100")</formula>
    </cfRule>
  </conditionalFormatting>
  <conditionalFormatting sqref="X18:AA18">
    <cfRule type="expression" dxfId="42" priority="7">
      <formula>AND($AZ$2&lt;&gt;"4-100")</formula>
    </cfRule>
  </conditionalFormatting>
  <conditionalFormatting sqref="X20:AA20">
    <cfRule type="expression" dxfId="41" priority="3">
      <formula>AND($AZ$2&lt;&gt;"4-100")</formula>
    </cfRule>
  </conditionalFormatting>
  <conditionalFormatting sqref="AB18">
    <cfRule type="expression" dxfId="40" priority="6">
      <formula>AND($AZ$2&lt;&gt;"4-100")</formula>
    </cfRule>
  </conditionalFormatting>
  <conditionalFormatting sqref="AB19">
    <cfRule type="expression" dxfId="39" priority="1">
      <formula>AND($AZ$2&lt;&gt;"4-100")</formula>
    </cfRule>
  </conditionalFormatting>
  <conditionalFormatting sqref="AB20">
    <cfRule type="expression" dxfId="38" priority="2">
      <formula>AND($AZ$2&lt;&gt;"4-100")</formula>
    </cfRule>
  </conditionalFormatting>
  <dataValidations count="9">
    <dataValidation type="list" allowBlank="1" showInputMessage="1" showErrorMessage="1" sqref="BD10:BF10" xr:uid="{00000000-0002-0000-0200-000000000000}">
      <formula1>$BP$2:$BP$3</formula1>
    </dataValidation>
    <dataValidation type="list" allowBlank="1" showInputMessage="1" showErrorMessage="1" sqref="AL52:AR53" xr:uid="{00000000-0002-0000-0200-000001000000}">
      <formula1>$BO$2:$BO$6</formula1>
    </dataValidation>
    <dataValidation type="list" allowBlank="1" showInputMessage="1" showErrorMessage="1" sqref="I6:AA6" xr:uid="{00000000-0002-0000-0200-000002000000}">
      <formula1>$BN$2:$BN$11</formula1>
    </dataValidation>
    <dataValidation type="list" allowBlank="1" showInputMessage="1" showErrorMessage="1" sqref="AB36:AB42 P38:P42 R30 T37:T42 W37:X42 L30:M30 S30:S42 K37:K42 T30 Y36:Z42 L36:M42 Y30:Z30 AA37:AA42 Q30:Q42 P30:P31 N30:N31 N37:O42 K30:K31 U30:U42 V33:V42 V30:V31 X30:X31 R37:R42 AA30:AA31 F30:I42 J30:J32 AC30:AF42 AB30:AB32 K33 AA33 N33 O30:O33 X33 W30:W33 J34 L32:M34 Y32:Z34 AB34 R32:R35 N35 K35 T32:T35 X35 AA35 P33:P36 J36 J38:J42" xr:uid="{00000000-0002-0000-0200-000003000000}">
      <formula1>$BI$2:$BI$3</formula1>
    </dataValidation>
    <dataValidation type="list" allowBlank="1" showInputMessage="1" showErrorMessage="1" sqref="AS43:AY43" xr:uid="{00000000-0002-0000-0200-000004000000}">
      <formula1>$BM$2:$BM$4</formula1>
    </dataValidation>
    <dataValidation type="list" allowBlank="1" showInputMessage="1" showErrorMessage="1" sqref="O45:U46" xr:uid="{00000000-0002-0000-0200-000005000000}">
      <formula1>$BL$2:$BL$8</formula1>
    </dataValidation>
    <dataValidation type="list" allowBlank="1" showInputMessage="1" showErrorMessage="1" sqref="AZ3:BF3" xr:uid="{00000000-0002-0000-0200-000006000000}">
      <formula1>$BK$2:$BK$7</formula1>
    </dataValidation>
    <dataValidation type="list" allowBlank="1" showInputMessage="1" showErrorMessage="1" sqref="AS5:BC5" xr:uid="{00000000-0002-0000-0200-000007000000}">
      <formula1>$BJ$2:$BJ$3</formula1>
    </dataValidation>
    <dataValidation type="list" allowBlank="1" showInputMessage="1" showErrorMessage="1" sqref="AZ2:BF2" xr:uid="{00000000-0002-0000-0200-000008000000}">
      <formula1>$BH$2:$BH$9</formula1>
    </dataValidation>
  </dataValidations>
  <printOptions horizontalCentered="1" verticalCentered="1"/>
  <pageMargins left="0.35433070866141736" right="0.35433070866141736" top="0.43307086614173229" bottom="0.47244094488188981" header="0.31496062992125984" footer="0.27559055118110237"/>
  <pageSetup paperSize="9" scale="6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S55"/>
  <sheetViews>
    <sheetView view="pageBreakPreview" zoomScale="80" zoomScaleNormal="100" zoomScaleSheetLayoutView="80" workbookViewId="0">
      <selection activeCell="AV38" sqref="AV38"/>
    </sheetView>
  </sheetViews>
  <sheetFormatPr defaultRowHeight="16.5"/>
  <cols>
    <col min="1" max="58" width="2.6328125" style="16" customWidth="1"/>
    <col min="59" max="63" width="9" style="16"/>
    <col min="64" max="64" width="16.1796875" style="16" bestFit="1" customWidth="1"/>
    <col min="65" max="65" width="15" style="16" bestFit="1" customWidth="1"/>
    <col min="66" max="257" width="9" style="16"/>
    <col min="258" max="313" width="2.08984375" style="16" customWidth="1"/>
    <col min="314" max="513" width="9" style="16"/>
    <col min="514" max="569" width="2.08984375" style="16" customWidth="1"/>
    <col min="570" max="769" width="9" style="16"/>
    <col min="770" max="825" width="2.08984375" style="16" customWidth="1"/>
    <col min="826" max="1025" width="9" style="16"/>
    <col min="1026" max="1081" width="2.08984375" style="16" customWidth="1"/>
    <col min="1082" max="1281" width="9" style="16"/>
    <col min="1282" max="1337" width="2.08984375" style="16" customWidth="1"/>
    <col min="1338" max="1537" width="9" style="16"/>
    <col min="1538" max="1593" width="2.08984375" style="16" customWidth="1"/>
    <col min="1594" max="1793" width="9" style="16"/>
    <col min="1794" max="1849" width="2.08984375" style="16" customWidth="1"/>
    <col min="1850" max="2049" width="9" style="16"/>
    <col min="2050" max="2105" width="2.08984375" style="16" customWidth="1"/>
    <col min="2106" max="2305" width="9" style="16"/>
    <col min="2306" max="2361" width="2.08984375" style="16" customWidth="1"/>
    <col min="2362" max="2561" width="9" style="16"/>
    <col min="2562" max="2617" width="2.08984375" style="16" customWidth="1"/>
    <col min="2618" max="2817" width="9" style="16"/>
    <col min="2818" max="2873" width="2.08984375" style="16" customWidth="1"/>
    <col min="2874" max="3073" width="9" style="16"/>
    <col min="3074" max="3129" width="2.08984375" style="16" customWidth="1"/>
    <col min="3130" max="3329" width="9" style="16"/>
    <col min="3330" max="3385" width="2.08984375" style="16" customWidth="1"/>
    <col min="3386" max="3585" width="9" style="16"/>
    <col min="3586" max="3641" width="2.08984375" style="16" customWidth="1"/>
    <col min="3642" max="3841" width="9" style="16"/>
    <col min="3842" max="3897" width="2.08984375" style="16" customWidth="1"/>
    <col min="3898" max="4097" width="9" style="16"/>
    <col min="4098" max="4153" width="2.08984375" style="16" customWidth="1"/>
    <col min="4154" max="4353" width="9" style="16"/>
    <col min="4354" max="4409" width="2.08984375" style="16" customWidth="1"/>
    <col min="4410" max="4609" width="9" style="16"/>
    <col min="4610" max="4665" width="2.08984375" style="16" customWidth="1"/>
    <col min="4666" max="4865" width="9" style="16"/>
    <col min="4866" max="4921" width="2.08984375" style="16" customWidth="1"/>
    <col min="4922" max="5121" width="9" style="16"/>
    <col min="5122" max="5177" width="2.08984375" style="16" customWidth="1"/>
    <col min="5178" max="5377" width="9" style="16"/>
    <col min="5378" max="5433" width="2.08984375" style="16" customWidth="1"/>
    <col min="5434" max="5633" width="9" style="16"/>
    <col min="5634" max="5689" width="2.08984375" style="16" customWidth="1"/>
    <col min="5690" max="5889" width="9" style="16"/>
    <col min="5890" max="5945" width="2.08984375" style="16" customWidth="1"/>
    <col min="5946" max="6145" width="9" style="16"/>
    <col min="6146" max="6201" width="2.08984375" style="16" customWidth="1"/>
    <col min="6202" max="6401" width="9" style="16"/>
    <col min="6402" max="6457" width="2.08984375" style="16" customWidth="1"/>
    <col min="6458" max="6657" width="9" style="16"/>
    <col min="6658" max="6713" width="2.08984375" style="16" customWidth="1"/>
    <col min="6714" max="6913" width="9" style="16"/>
    <col min="6914" max="6969" width="2.08984375" style="16" customWidth="1"/>
    <col min="6970" max="7169" width="9" style="16"/>
    <col min="7170" max="7225" width="2.08984375" style="16" customWidth="1"/>
    <col min="7226" max="7425" width="9" style="16"/>
    <col min="7426" max="7481" width="2.08984375" style="16" customWidth="1"/>
    <col min="7482" max="7681" width="9" style="16"/>
    <col min="7682" max="7737" width="2.08984375" style="16" customWidth="1"/>
    <col min="7738" max="7937" width="9" style="16"/>
    <col min="7938" max="7993" width="2.08984375" style="16" customWidth="1"/>
    <col min="7994" max="8193" width="9" style="16"/>
    <col min="8194" max="8249" width="2.08984375" style="16" customWidth="1"/>
    <col min="8250" max="8449" width="9" style="16"/>
    <col min="8450" max="8505" width="2.08984375" style="16" customWidth="1"/>
    <col min="8506" max="8705" width="9" style="16"/>
    <col min="8706" max="8761" width="2.08984375" style="16" customWidth="1"/>
    <col min="8762" max="8961" width="9" style="16"/>
    <col min="8962" max="9017" width="2.08984375" style="16" customWidth="1"/>
    <col min="9018" max="9217" width="9" style="16"/>
    <col min="9218" max="9273" width="2.08984375" style="16" customWidth="1"/>
    <col min="9274" max="9473" width="9" style="16"/>
    <col min="9474" max="9529" width="2.08984375" style="16" customWidth="1"/>
    <col min="9530" max="9729" width="9" style="16"/>
    <col min="9730" max="9785" width="2.08984375" style="16" customWidth="1"/>
    <col min="9786" max="9985" width="9" style="16"/>
    <col min="9986" max="10041" width="2.08984375" style="16" customWidth="1"/>
    <col min="10042" max="10241" width="9" style="16"/>
    <col min="10242" max="10297" width="2.08984375" style="16" customWidth="1"/>
    <col min="10298" max="10497" width="9" style="16"/>
    <col min="10498" max="10553" width="2.08984375" style="16" customWidth="1"/>
    <col min="10554" max="10753" width="9" style="16"/>
    <col min="10754" max="10809" width="2.08984375" style="16" customWidth="1"/>
    <col min="10810" max="11009" width="9" style="16"/>
    <col min="11010" max="11065" width="2.08984375" style="16" customWidth="1"/>
    <col min="11066" max="11265" width="9" style="16"/>
    <col min="11266" max="11321" width="2.08984375" style="16" customWidth="1"/>
    <col min="11322" max="11521" width="9" style="16"/>
    <col min="11522" max="11577" width="2.08984375" style="16" customWidth="1"/>
    <col min="11578" max="11777" width="9" style="16"/>
    <col min="11778" max="11833" width="2.08984375" style="16" customWidth="1"/>
    <col min="11834" max="12033" width="9" style="16"/>
    <col min="12034" max="12089" width="2.08984375" style="16" customWidth="1"/>
    <col min="12090" max="12289" width="9" style="16"/>
    <col min="12290" max="12345" width="2.08984375" style="16" customWidth="1"/>
    <col min="12346" max="12545" width="9" style="16"/>
    <col min="12546" max="12601" width="2.08984375" style="16" customWidth="1"/>
    <col min="12602" max="12801" width="9" style="16"/>
    <col min="12802" max="12857" width="2.08984375" style="16" customWidth="1"/>
    <col min="12858" max="13057" width="9" style="16"/>
    <col min="13058" max="13113" width="2.08984375" style="16" customWidth="1"/>
    <col min="13114" max="13313" width="9" style="16"/>
    <col min="13314" max="13369" width="2.08984375" style="16" customWidth="1"/>
    <col min="13370" max="13569" width="9" style="16"/>
    <col min="13570" max="13625" width="2.08984375" style="16" customWidth="1"/>
    <col min="13626" max="13825" width="9" style="16"/>
    <col min="13826" max="13881" width="2.08984375" style="16" customWidth="1"/>
    <col min="13882" max="14081" width="9" style="16"/>
    <col min="14082" max="14137" width="2.08984375" style="16" customWidth="1"/>
    <col min="14138" max="14337" width="9" style="16"/>
    <col min="14338" max="14393" width="2.08984375" style="16" customWidth="1"/>
    <col min="14394" max="14593" width="9" style="16"/>
    <col min="14594" max="14649" width="2.08984375" style="16" customWidth="1"/>
    <col min="14650" max="14849" width="9" style="16"/>
    <col min="14850" max="14905" width="2.08984375" style="16" customWidth="1"/>
    <col min="14906" max="15105" width="9" style="16"/>
    <col min="15106" max="15161" width="2.08984375" style="16" customWidth="1"/>
    <col min="15162" max="15361" width="9" style="16"/>
    <col min="15362" max="15417" width="2.08984375" style="16" customWidth="1"/>
    <col min="15418" max="15617" width="9" style="16"/>
    <col min="15618" max="15673" width="2.08984375" style="16" customWidth="1"/>
    <col min="15674" max="15873" width="9" style="16"/>
    <col min="15874" max="15929" width="2.08984375" style="16" customWidth="1"/>
    <col min="15930" max="16129" width="9" style="16"/>
    <col min="16130" max="16185" width="2.08984375" style="16" customWidth="1"/>
    <col min="16186" max="16383" width="9" style="16"/>
    <col min="16384" max="16384" width="8.90625" style="16" customWidth="1"/>
  </cols>
  <sheetData>
    <row r="1" spans="1:71" ht="27" customHeight="1">
      <c r="A1" s="131" t="s">
        <v>262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3"/>
      <c r="AS1" s="137" t="s">
        <v>0</v>
      </c>
      <c r="AT1" s="138"/>
      <c r="AU1" s="138"/>
      <c r="AV1" s="138"/>
      <c r="AW1" s="138"/>
      <c r="AX1" s="138"/>
      <c r="AY1" s="138"/>
      <c r="AZ1" s="143">
        <v>1.1000000000000001</v>
      </c>
      <c r="BA1" s="144"/>
      <c r="BB1" s="144"/>
      <c r="BC1" s="144"/>
      <c r="BD1" s="144"/>
      <c r="BE1" s="144"/>
      <c r="BF1" s="145"/>
    </row>
    <row r="2" spans="1:71" ht="27" customHeight="1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6"/>
      <c r="AS2" s="127" t="s">
        <v>85</v>
      </c>
      <c r="AT2" s="123"/>
      <c r="AU2" s="123"/>
      <c r="AV2" s="123"/>
      <c r="AW2" s="123"/>
      <c r="AX2" s="123"/>
      <c r="AY2" s="123"/>
      <c r="AZ2" s="146" t="s">
        <v>303</v>
      </c>
      <c r="BA2" s="147"/>
      <c r="BB2" s="147"/>
      <c r="BC2" s="147"/>
      <c r="BD2" s="147"/>
      <c r="BE2" s="147"/>
      <c r="BF2" s="148"/>
      <c r="BH2" s="16" t="s">
        <v>304</v>
      </c>
      <c r="BI2" s="88" t="s">
        <v>111</v>
      </c>
      <c r="BJ2" s="16" t="s">
        <v>125</v>
      </c>
      <c r="BK2" s="16" t="s">
        <v>127</v>
      </c>
      <c r="BL2" s="16" t="s">
        <v>138</v>
      </c>
      <c r="BM2" s="16" t="s">
        <v>146</v>
      </c>
      <c r="BN2" s="89" t="s">
        <v>201</v>
      </c>
      <c r="BO2" s="89" t="s">
        <v>211</v>
      </c>
      <c r="BP2" s="16" t="s">
        <v>217</v>
      </c>
      <c r="BQ2" s="16" t="s">
        <v>226</v>
      </c>
      <c r="BR2" s="16" t="s">
        <v>32</v>
      </c>
      <c r="BS2" s="16" t="s">
        <v>121</v>
      </c>
    </row>
    <row r="3" spans="1:71" s="1" customFormat="1" ht="27" customHeight="1">
      <c r="A3" s="141" t="s">
        <v>1</v>
      </c>
      <c r="B3" s="123"/>
      <c r="C3" s="123"/>
      <c r="D3" s="123"/>
      <c r="E3" s="123"/>
      <c r="F3" s="123"/>
      <c r="G3" s="123"/>
      <c r="H3" s="123"/>
      <c r="I3" s="123" t="str">
        <f>'（单动-高速压机OP20）'!I3:O3</f>
        <v>11A 809 605</v>
      </c>
      <c r="J3" s="123"/>
      <c r="K3" s="123"/>
      <c r="L3" s="123"/>
      <c r="M3" s="123"/>
      <c r="N3" s="123"/>
      <c r="O3" s="123"/>
      <c r="P3" s="123" t="s">
        <v>2</v>
      </c>
      <c r="Q3" s="123"/>
      <c r="R3" s="123"/>
      <c r="S3" s="123"/>
      <c r="T3" s="123"/>
      <c r="U3" s="123"/>
      <c r="V3" s="123"/>
      <c r="W3" s="123" t="str">
        <f>'（单动-高速压机OP20）'!W3:AC3</f>
        <v>左侧围外板</v>
      </c>
      <c r="X3" s="123"/>
      <c r="Y3" s="123"/>
      <c r="Z3" s="123"/>
      <c r="AA3" s="123"/>
      <c r="AB3" s="123"/>
      <c r="AC3" s="123"/>
      <c r="AD3" s="123" t="s">
        <v>84</v>
      </c>
      <c r="AE3" s="123"/>
      <c r="AF3" s="123"/>
      <c r="AG3" s="123"/>
      <c r="AH3" s="123"/>
      <c r="AI3" s="123"/>
      <c r="AJ3" s="123"/>
      <c r="AK3" s="123"/>
      <c r="AL3" s="130" t="str">
        <f>'（单动-高速压机OP20）'!AL3:AR3</f>
        <v>A SUVe</v>
      </c>
      <c r="AM3" s="126"/>
      <c r="AN3" s="126"/>
      <c r="AO3" s="126"/>
      <c r="AP3" s="126"/>
      <c r="AQ3" s="126"/>
      <c r="AR3" s="127"/>
      <c r="AS3" s="123" t="s">
        <v>3</v>
      </c>
      <c r="AT3" s="123"/>
      <c r="AU3" s="123"/>
      <c r="AV3" s="123"/>
      <c r="AW3" s="123"/>
      <c r="AX3" s="123"/>
      <c r="AY3" s="123"/>
      <c r="AZ3" s="123" t="s">
        <v>250</v>
      </c>
      <c r="BA3" s="123"/>
      <c r="BB3" s="123"/>
      <c r="BC3" s="123"/>
      <c r="BD3" s="123"/>
      <c r="BE3" s="123"/>
      <c r="BF3" s="124"/>
      <c r="BH3" s="1" t="s">
        <v>87</v>
      </c>
      <c r="BI3" s="88" t="s">
        <v>233</v>
      </c>
      <c r="BJ3" s="1" t="s">
        <v>126</v>
      </c>
      <c r="BK3" s="16" t="s">
        <v>128</v>
      </c>
      <c r="BL3" s="1" t="s">
        <v>137</v>
      </c>
      <c r="BM3" s="1" t="s">
        <v>147</v>
      </c>
      <c r="BN3" s="89" t="s">
        <v>202</v>
      </c>
      <c r="BO3" s="89" t="s">
        <v>212</v>
      </c>
      <c r="BP3" s="1" t="s">
        <v>218</v>
      </c>
      <c r="BQ3" s="16" t="s">
        <v>227</v>
      </c>
      <c r="BR3" s="16" t="s">
        <v>32</v>
      </c>
      <c r="BS3" s="16" t="s">
        <v>121</v>
      </c>
    </row>
    <row r="4" spans="1:71" ht="27" customHeight="1">
      <c r="A4" s="150" t="s">
        <v>83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7"/>
      <c r="BH4" s="16" t="s">
        <v>220</v>
      </c>
      <c r="BI4" s="92" t="s">
        <v>234</v>
      </c>
      <c r="BK4" s="16" t="s">
        <v>129</v>
      </c>
      <c r="BL4" s="16" t="s">
        <v>136</v>
      </c>
      <c r="BN4" s="89" t="s">
        <v>203</v>
      </c>
      <c r="BO4" s="89" t="s">
        <v>213</v>
      </c>
      <c r="BQ4" s="16" t="s">
        <v>224</v>
      </c>
      <c r="BR4" s="16" t="s">
        <v>32</v>
      </c>
      <c r="BS4" s="16" t="s">
        <v>121</v>
      </c>
    </row>
    <row r="5" spans="1:71" ht="27" customHeight="1">
      <c r="A5" s="150" t="s">
        <v>82</v>
      </c>
      <c r="B5" s="151"/>
      <c r="C5" s="151"/>
      <c r="D5" s="151"/>
      <c r="E5" s="151"/>
      <c r="F5" s="151"/>
      <c r="G5" s="151"/>
      <c r="H5" s="152"/>
      <c r="I5" s="247" t="s">
        <v>302</v>
      </c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9"/>
      <c r="AD5" s="158" t="s">
        <v>81</v>
      </c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60"/>
      <c r="AS5" s="167" t="s">
        <v>7</v>
      </c>
      <c r="AT5" s="165"/>
      <c r="AU5" s="165"/>
      <c r="AV5" s="165"/>
      <c r="AW5" s="165"/>
      <c r="AX5" s="165"/>
      <c r="AY5" s="165"/>
      <c r="AZ5" s="165"/>
      <c r="BA5" s="165"/>
      <c r="BB5" s="165"/>
      <c r="BC5" s="165"/>
      <c r="BD5" s="165"/>
      <c r="BE5" s="165"/>
      <c r="BF5" s="166"/>
      <c r="BH5" s="16" t="s">
        <v>221</v>
      </c>
      <c r="BI5" s="92"/>
      <c r="BK5" s="16" t="s">
        <v>130</v>
      </c>
      <c r="BL5" s="1" t="s">
        <v>139</v>
      </c>
      <c r="BN5" s="89" t="s">
        <v>204</v>
      </c>
      <c r="BO5" s="89" t="s">
        <v>214</v>
      </c>
      <c r="BQ5" s="16" t="s">
        <v>229</v>
      </c>
      <c r="BR5" s="16" t="s">
        <v>32</v>
      </c>
      <c r="BS5" s="16" t="s">
        <v>121</v>
      </c>
    </row>
    <row r="6" spans="1:71" ht="27" customHeight="1">
      <c r="A6" s="150" t="s">
        <v>80</v>
      </c>
      <c r="B6" s="151"/>
      <c r="C6" s="151"/>
      <c r="D6" s="151"/>
      <c r="E6" s="151"/>
      <c r="F6" s="151"/>
      <c r="G6" s="151"/>
      <c r="H6" s="152"/>
      <c r="I6" s="247" t="s">
        <v>298</v>
      </c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9"/>
      <c r="AD6" s="167" t="s">
        <v>79</v>
      </c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8"/>
      <c r="AS6" s="167">
        <v>12</v>
      </c>
      <c r="AT6" s="165"/>
      <c r="AU6" s="165"/>
      <c r="AV6" s="165"/>
      <c r="AW6" s="165"/>
      <c r="AX6" s="165"/>
      <c r="AY6" s="165"/>
      <c r="AZ6" s="165"/>
      <c r="BA6" s="165"/>
      <c r="BB6" s="165"/>
      <c r="BC6" s="165"/>
      <c r="BD6" s="165" t="s">
        <v>124</v>
      </c>
      <c r="BE6" s="165"/>
      <c r="BF6" s="166"/>
      <c r="BH6" s="16" t="s">
        <v>222</v>
      </c>
      <c r="BK6" s="16" t="s">
        <v>131</v>
      </c>
      <c r="BL6" s="16" t="s">
        <v>140</v>
      </c>
      <c r="BN6" s="89" t="s">
        <v>205</v>
      </c>
      <c r="BO6" s="89" t="s">
        <v>103</v>
      </c>
      <c r="BQ6" s="16" t="s">
        <v>230</v>
      </c>
      <c r="BR6" s="16" t="s">
        <v>32</v>
      </c>
      <c r="BS6" s="16" t="s">
        <v>121</v>
      </c>
    </row>
    <row r="7" spans="1:71" ht="27" customHeight="1">
      <c r="A7" s="150" t="s">
        <v>10</v>
      </c>
      <c r="B7" s="151"/>
      <c r="C7" s="151"/>
      <c r="D7" s="151"/>
      <c r="E7" s="151"/>
      <c r="F7" s="151"/>
      <c r="G7" s="151"/>
      <c r="H7" s="152"/>
      <c r="I7" s="245">
        <v>36.5</v>
      </c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126" t="s">
        <v>11</v>
      </c>
      <c r="AC7" s="127"/>
      <c r="AD7" s="167" t="s">
        <v>77</v>
      </c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8"/>
      <c r="AS7" s="167">
        <v>4</v>
      </c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 t="s">
        <v>123</v>
      </c>
      <c r="BE7" s="165"/>
      <c r="BF7" s="166"/>
      <c r="BH7" s="16" t="s">
        <v>223</v>
      </c>
      <c r="BK7" s="16" t="s">
        <v>132</v>
      </c>
      <c r="BL7" s="1" t="s">
        <v>141</v>
      </c>
      <c r="BN7" s="89" t="s">
        <v>206</v>
      </c>
      <c r="BQ7" s="16" t="s">
        <v>231</v>
      </c>
      <c r="BR7" s="16" t="s">
        <v>32</v>
      </c>
      <c r="BS7" s="16" t="s">
        <v>121</v>
      </c>
    </row>
    <row r="8" spans="1:71" ht="27" customHeight="1">
      <c r="A8" s="202" t="s">
        <v>76</v>
      </c>
      <c r="B8" s="203"/>
      <c r="C8" s="203"/>
      <c r="D8" s="203"/>
      <c r="E8" s="203"/>
      <c r="F8" s="203"/>
      <c r="G8" s="203"/>
      <c r="H8" s="203"/>
      <c r="I8" s="245">
        <v>16.5</v>
      </c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126" t="s">
        <v>11</v>
      </c>
      <c r="AC8" s="127"/>
      <c r="AD8" s="167" t="s">
        <v>75</v>
      </c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8"/>
      <c r="AS8" s="167">
        <v>8</v>
      </c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 t="s">
        <v>122</v>
      </c>
      <c r="BE8" s="165"/>
      <c r="BF8" s="166"/>
      <c r="BH8" s="16" t="s">
        <v>224</v>
      </c>
      <c r="BL8" s="16" t="s">
        <v>142</v>
      </c>
      <c r="BN8" s="89" t="s">
        <v>299</v>
      </c>
      <c r="BQ8" s="16" t="s">
        <v>293</v>
      </c>
      <c r="BR8" s="16" t="s">
        <v>32</v>
      </c>
      <c r="BS8" s="16" t="s">
        <v>121</v>
      </c>
    </row>
    <row r="9" spans="1:71" ht="27" customHeight="1">
      <c r="A9" s="204" t="s">
        <v>14</v>
      </c>
      <c r="B9" s="205"/>
      <c r="C9" s="205"/>
      <c r="D9" s="205"/>
      <c r="E9" s="205"/>
      <c r="F9" s="205"/>
      <c r="G9" s="205"/>
      <c r="H9" s="206"/>
      <c r="I9" s="200">
        <v>1276</v>
      </c>
      <c r="J9" s="201"/>
      <c r="K9" s="201"/>
      <c r="L9" s="201"/>
      <c r="M9" s="201"/>
      <c r="N9" s="201"/>
      <c r="O9" s="201"/>
      <c r="P9" s="201"/>
      <c r="Q9" s="201"/>
      <c r="R9" s="201"/>
      <c r="S9" s="199" t="s">
        <v>281</v>
      </c>
      <c r="T9" s="199"/>
      <c r="U9" s="199"/>
      <c r="V9" s="199"/>
      <c r="W9" s="199"/>
      <c r="X9" s="199"/>
      <c r="Y9" s="199"/>
      <c r="Z9" s="199"/>
      <c r="AA9" s="199"/>
      <c r="AB9" s="126" t="s">
        <v>115</v>
      </c>
      <c r="AC9" s="127"/>
      <c r="AD9" s="167" t="s">
        <v>73</v>
      </c>
      <c r="AE9" s="165"/>
      <c r="AF9" s="165" t="s">
        <v>56</v>
      </c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8"/>
      <c r="AS9" s="167">
        <v>1200</v>
      </c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 t="s">
        <v>72</v>
      </c>
      <c r="BE9" s="165"/>
      <c r="BF9" s="166"/>
      <c r="BH9" s="16" t="s">
        <v>225</v>
      </c>
      <c r="BN9" s="89" t="s">
        <v>208</v>
      </c>
      <c r="BQ9" s="16" t="s">
        <v>304</v>
      </c>
      <c r="BR9" s="16" t="s">
        <v>32</v>
      </c>
      <c r="BS9" s="16" t="s">
        <v>121</v>
      </c>
    </row>
    <row r="10" spans="1:71" ht="27" customHeight="1">
      <c r="A10" s="190" t="s">
        <v>71</v>
      </c>
      <c r="B10" s="191"/>
      <c r="C10" s="191"/>
      <c r="D10" s="191"/>
      <c r="E10" s="191"/>
      <c r="F10" s="191"/>
      <c r="G10" s="191"/>
      <c r="H10" s="192"/>
      <c r="I10" s="200">
        <v>1350</v>
      </c>
      <c r="J10" s="201"/>
      <c r="K10" s="201"/>
      <c r="L10" s="201"/>
      <c r="M10" s="201"/>
      <c r="N10" s="201"/>
      <c r="O10" s="201"/>
      <c r="P10" s="201"/>
      <c r="Q10" s="201"/>
      <c r="R10" s="201"/>
      <c r="S10" s="199" t="s">
        <v>280</v>
      </c>
      <c r="T10" s="199"/>
      <c r="U10" s="199"/>
      <c r="V10" s="199"/>
      <c r="W10" s="199"/>
      <c r="X10" s="199"/>
      <c r="Y10" s="199"/>
      <c r="Z10" s="199"/>
      <c r="AA10" s="199"/>
      <c r="AB10" s="126" t="s">
        <v>115</v>
      </c>
      <c r="AC10" s="127"/>
      <c r="AD10" s="167" t="s">
        <v>70</v>
      </c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8"/>
      <c r="AS10" s="175" t="s">
        <v>272</v>
      </c>
      <c r="AT10" s="176"/>
      <c r="AU10" s="176"/>
      <c r="AV10" s="176"/>
      <c r="AW10" s="176"/>
      <c r="AX10" s="176"/>
      <c r="AY10" s="176"/>
      <c r="AZ10" s="176"/>
      <c r="BA10" s="176"/>
      <c r="BB10" s="176"/>
      <c r="BC10" s="176"/>
      <c r="BD10" s="165" t="s">
        <v>219</v>
      </c>
      <c r="BE10" s="165"/>
      <c r="BF10" s="166"/>
      <c r="BN10" s="89" t="s">
        <v>209</v>
      </c>
    </row>
    <row r="11" spans="1:71" ht="20.149999999999999" customHeight="1">
      <c r="A11" s="18"/>
      <c r="F11" s="2"/>
      <c r="G11" s="238">
        <v>-7</v>
      </c>
      <c r="H11" s="238"/>
      <c r="I11" s="238">
        <v>-6</v>
      </c>
      <c r="J11" s="238"/>
      <c r="K11" s="238">
        <v>-5</v>
      </c>
      <c r="L11" s="238"/>
      <c r="M11" s="238">
        <v>-4</v>
      </c>
      <c r="N11" s="238"/>
      <c r="O11" s="238">
        <v>-3</v>
      </c>
      <c r="P11" s="238"/>
      <c r="Q11" s="238">
        <v>-2</v>
      </c>
      <c r="R11" s="238"/>
      <c r="S11" s="238">
        <v>-1</v>
      </c>
      <c r="T11" s="238"/>
      <c r="U11" s="3">
        <v>0</v>
      </c>
      <c r="V11" s="238">
        <v>1</v>
      </c>
      <c r="W11" s="238"/>
      <c r="X11" s="238">
        <v>2</v>
      </c>
      <c r="Y11" s="238"/>
      <c r="Z11" s="238">
        <v>3</v>
      </c>
      <c r="AA11" s="238"/>
      <c r="AB11" s="238">
        <v>4</v>
      </c>
      <c r="AC11" s="238"/>
      <c r="AD11" s="238">
        <v>5</v>
      </c>
      <c r="AE11" s="238"/>
      <c r="AF11" s="238">
        <v>6</v>
      </c>
      <c r="AG11" s="238"/>
      <c r="AH11" s="238">
        <v>7</v>
      </c>
      <c r="AI11" s="238"/>
      <c r="AJ11" s="4"/>
      <c r="AK11" s="19"/>
      <c r="AL11" s="19"/>
      <c r="AM11" s="19"/>
      <c r="AT11" s="37"/>
      <c r="AU11" s="37" t="s">
        <v>69</v>
      </c>
      <c r="AV11" s="37"/>
      <c r="AW11" s="85"/>
      <c r="AX11" s="36" t="s">
        <v>65</v>
      </c>
      <c r="AY11" s="37" t="s">
        <v>68</v>
      </c>
      <c r="AZ11" s="37"/>
      <c r="BA11" s="36"/>
      <c r="BB11" s="85"/>
      <c r="BC11" s="36"/>
      <c r="BD11" s="37"/>
      <c r="BE11" s="37"/>
      <c r="BF11" s="79"/>
      <c r="BN11" s="89" t="s">
        <v>210</v>
      </c>
    </row>
    <row r="12" spans="1:71" ht="20.149999999999999" customHeight="1">
      <c r="A12" s="18"/>
      <c r="F12" s="5"/>
      <c r="G12" s="83"/>
      <c r="H12" s="6"/>
      <c r="I12" s="83"/>
      <c r="J12" s="6"/>
      <c r="K12" s="83"/>
      <c r="L12" s="6"/>
      <c r="M12" s="103" t="s">
        <v>32</v>
      </c>
      <c r="N12" s="99"/>
      <c r="O12" s="100"/>
      <c r="P12" s="6"/>
      <c r="Q12" s="100"/>
      <c r="R12" s="6"/>
      <c r="S12" s="83"/>
      <c r="T12" s="6"/>
      <c r="U12" s="6"/>
      <c r="V12" s="83"/>
      <c r="W12" s="6"/>
      <c r="X12" s="83"/>
      <c r="Y12" s="101"/>
      <c r="Z12" s="83"/>
      <c r="AA12" s="101"/>
      <c r="AB12" s="83"/>
      <c r="AC12" s="104" t="s">
        <v>32</v>
      </c>
      <c r="AD12" s="83"/>
      <c r="AE12" s="101"/>
      <c r="AF12" s="83"/>
      <c r="AG12" s="6"/>
      <c r="AH12" s="83"/>
      <c r="AI12" s="6"/>
      <c r="AJ12" s="5"/>
      <c r="AK12" s="19"/>
      <c r="AL12" s="19"/>
      <c r="AM12" s="19"/>
      <c r="AT12" s="20"/>
      <c r="AU12" s="20"/>
      <c r="AV12" s="20"/>
      <c r="AW12" s="72"/>
      <c r="AX12" s="103" t="s">
        <v>32</v>
      </c>
      <c r="AY12" s="20" t="s">
        <v>238</v>
      </c>
      <c r="AZ12" s="72"/>
      <c r="BA12" s="72"/>
      <c r="BB12" s="72"/>
      <c r="BC12" s="72"/>
      <c r="BD12" s="20"/>
      <c r="BE12" s="20"/>
      <c r="BF12" s="24"/>
    </row>
    <row r="13" spans="1:71" ht="20.149999999999999" customHeight="1">
      <c r="A13" s="18"/>
      <c r="B13" s="194" t="s">
        <v>86</v>
      </c>
      <c r="C13" s="194"/>
      <c r="F13" s="5"/>
      <c r="G13" s="84"/>
      <c r="H13" s="6"/>
      <c r="I13" s="83"/>
      <c r="J13" s="122" t="s">
        <v>121</v>
      </c>
      <c r="K13" s="39" t="s">
        <v>32</v>
      </c>
      <c r="L13" s="102" t="s">
        <v>32</v>
      </c>
      <c r="M13" s="103" t="s">
        <v>32</v>
      </c>
      <c r="N13" s="99" t="str">
        <f>IF(VLOOKUP($AZ$2,$BQ$2:$BT$9,4,0)=0,"",VLOOKUP($AZ$2,$BQ$2:$BT$9,4,0))</f>
        <v/>
      </c>
      <c r="O13" s="103" t="s">
        <v>32</v>
      </c>
      <c r="P13" s="102" t="s">
        <v>32</v>
      </c>
      <c r="Q13" s="100" t="str">
        <f>IF(VLOOKUP($AZ$2,$BQ$2:$BT$9,4,0)=0,"",VLOOKUP($AZ$2,$BQ$2:$BT$9,4,0))</f>
        <v/>
      </c>
      <c r="R13" s="6"/>
      <c r="S13" s="83"/>
      <c r="T13" s="6"/>
      <c r="U13" s="6"/>
      <c r="V13" s="83"/>
      <c r="W13" s="6"/>
      <c r="X13" s="83"/>
      <c r="Y13" s="101" t="str">
        <f>IF(VLOOKUP($AZ$2,$BQ$2:$BT$9,4,0)=0,"",VLOOKUP($AZ$2,$BQ$2:$BT$9,4,0))</f>
        <v/>
      </c>
      <c r="Z13" s="84" t="s">
        <v>32</v>
      </c>
      <c r="AA13" s="104" t="s">
        <v>32</v>
      </c>
      <c r="AB13" s="83" t="str">
        <f>IF(VLOOKUP($AZ$2,$BQ$2:$BT$9,4,0)=0,"",VLOOKUP($AZ$2,$BQ$2:$BT$9,4,0))</f>
        <v/>
      </c>
      <c r="AC13" s="104" t="s">
        <v>32</v>
      </c>
      <c r="AD13" s="83" t="s">
        <v>32</v>
      </c>
      <c r="AE13" s="102" t="s">
        <v>32</v>
      </c>
      <c r="AF13" s="121" t="s">
        <v>121</v>
      </c>
      <c r="AG13" s="6"/>
      <c r="AH13" s="83"/>
      <c r="AI13" s="39"/>
      <c r="AJ13" s="5"/>
      <c r="AK13" s="5"/>
      <c r="AL13" s="19"/>
      <c r="AM13" s="19"/>
      <c r="AW13" s="72"/>
      <c r="AX13" s="72"/>
      <c r="AY13" s="72"/>
      <c r="AZ13" s="72"/>
      <c r="BA13" s="72"/>
      <c r="BB13" s="72"/>
      <c r="BC13" s="72"/>
      <c r="BF13" s="25"/>
    </row>
    <row r="14" spans="1:71" ht="20.149999999999999" customHeight="1">
      <c r="A14" s="18"/>
      <c r="B14" s="194"/>
      <c r="C14" s="194"/>
      <c r="F14" s="5"/>
      <c r="G14" s="84"/>
      <c r="H14" s="6"/>
      <c r="I14" s="83"/>
      <c r="J14" s="39" t="s">
        <v>32</v>
      </c>
      <c r="K14" s="98"/>
      <c r="L14" s="6" t="str">
        <f t="shared" ref="L14:M14" si="0">IF(VLOOKUP($AZ$2,$BQ$2:$BT$9,4,0)=0,"",VLOOKUP($AZ$2,$BQ$2:$BT$9,4,0))</f>
        <v/>
      </c>
      <c r="M14" s="6" t="str">
        <f t="shared" si="0"/>
        <v/>
      </c>
      <c r="N14" s="99" t="str">
        <f>IF(VLOOKUP($AZ$2,$BQ$2:$BT$9,4,0)=0,"",VLOOKUP($AZ$2,$BQ$2:$BT$9,4,0))</f>
        <v/>
      </c>
      <c r="O14" s="100" t="str">
        <f>IF(VLOOKUP($AZ$2,$BQ$2:$BT$9,4,0)=0,"",VLOOKUP($AZ$2,$BQ$2:$BT$9,4,0))</f>
        <v/>
      </c>
      <c r="P14" s="39" t="s">
        <v>32</v>
      </c>
      <c r="Q14" s="100" t="str">
        <f>IF(VLOOKUP($AZ$2,$BQ$2:$BT$9,4,0)=0,"",VLOOKUP($AZ$2,$BQ$2:$BT$9,4,0))</f>
        <v/>
      </c>
      <c r="R14" s="6"/>
      <c r="S14" s="83"/>
      <c r="T14" s="39" t="s">
        <v>32</v>
      </c>
      <c r="U14" s="6"/>
      <c r="V14" s="84" t="s">
        <v>32</v>
      </c>
      <c r="W14" s="6"/>
      <c r="X14" s="83"/>
      <c r="Y14" s="101" t="str">
        <f>IF(VLOOKUP($AZ$2,$BQ$2:$BT$9,4,0)=0,"",VLOOKUP($AZ$2,$BQ$2:$BT$9,4,0))</f>
        <v/>
      </c>
      <c r="Z14" s="84" t="s">
        <v>32</v>
      </c>
      <c r="AA14" s="101" t="str">
        <f>IF(VLOOKUP($AZ$2,$BQ$2:$BT$9,4,0)=0,"",VLOOKUP($AZ$2,$BQ$2:$BT$9,4,0))</f>
        <v/>
      </c>
      <c r="AB14" s="83" t="str">
        <f>IF(VLOOKUP($AZ$2,$BQ$2:$BT$9,4,0)=0,"",VLOOKUP($AZ$2,$BQ$2:$BT$9,4,0))</f>
        <v/>
      </c>
      <c r="AC14" s="101" t="str">
        <f t="shared" ref="AC14:AD14" si="1">IF(VLOOKUP($AZ$2,$BQ$2:$BT$9,4,0)=0,"",VLOOKUP($AZ$2,$BQ$2:$BT$9,4,0))</f>
        <v/>
      </c>
      <c r="AD14" s="83" t="str">
        <f t="shared" si="1"/>
        <v/>
      </c>
      <c r="AE14" s="105"/>
      <c r="AF14" s="84" t="str">
        <f>IF(VLOOKUP($AZ$2,$BQ$2:$BT$9,2,0)=0,"",VLOOKUP($AZ$2,$BQ$2:$BT$9,2,0))</f>
        <v>○</v>
      </c>
      <c r="AG14" s="6"/>
      <c r="AH14" s="83"/>
      <c r="AI14" s="39"/>
      <c r="AJ14" s="5"/>
      <c r="AK14" s="5"/>
      <c r="AL14" s="19"/>
      <c r="AM14" s="19"/>
      <c r="AW14" s="72"/>
      <c r="AX14" s="72"/>
      <c r="AY14" s="72"/>
      <c r="AZ14" s="72"/>
      <c r="BA14" s="72"/>
      <c r="BB14" s="72"/>
      <c r="BC14" s="72"/>
      <c r="BF14" s="25"/>
    </row>
    <row r="15" spans="1:71" ht="20.149999999999999" customHeight="1">
      <c r="A15" s="18"/>
      <c r="B15" s="194"/>
      <c r="C15" s="194"/>
      <c r="F15" s="5"/>
      <c r="G15" s="84"/>
      <c r="H15" s="6"/>
      <c r="I15" s="83"/>
      <c r="J15" s="6"/>
      <c r="K15" s="83"/>
      <c r="L15" s="6"/>
      <c r="M15" s="6"/>
      <c r="N15" s="99"/>
      <c r="O15" s="100"/>
      <c r="P15" s="6"/>
      <c r="Q15" s="100"/>
      <c r="R15" s="6"/>
      <c r="S15" s="83"/>
      <c r="T15" s="6"/>
      <c r="U15" s="6"/>
      <c r="V15" s="83"/>
      <c r="W15" s="6"/>
      <c r="X15" s="83"/>
      <c r="Y15" s="101"/>
      <c r="Z15" s="83"/>
      <c r="AA15" s="101"/>
      <c r="AB15" s="83"/>
      <c r="AC15" s="101"/>
      <c r="AD15" s="83"/>
      <c r="AE15" s="101"/>
      <c r="AF15" s="83"/>
      <c r="AG15" s="6"/>
      <c r="AH15" s="83"/>
      <c r="AI15" s="39"/>
      <c r="AJ15" s="5"/>
      <c r="AK15" s="5"/>
      <c r="AL15" s="19"/>
      <c r="AM15" s="19"/>
      <c r="AW15" s="72"/>
      <c r="AX15" s="72"/>
      <c r="AY15" s="72"/>
      <c r="AZ15" s="72"/>
      <c r="BA15" s="72"/>
      <c r="BB15" s="72"/>
      <c r="BC15" s="72"/>
      <c r="BF15" s="25"/>
    </row>
    <row r="16" spans="1:71" ht="20.149999999999999" customHeight="1">
      <c r="A16" s="18"/>
      <c r="B16" s="194"/>
      <c r="C16" s="194"/>
      <c r="F16" s="5"/>
      <c r="G16" s="84"/>
      <c r="H16" s="6"/>
      <c r="I16" s="83"/>
      <c r="J16" s="6"/>
      <c r="K16" s="83"/>
      <c r="L16" s="6"/>
      <c r="M16" s="6"/>
      <c r="N16" s="99"/>
      <c r="O16" s="100"/>
      <c r="P16" s="102"/>
      <c r="Q16" s="100"/>
      <c r="R16" s="6"/>
      <c r="S16" s="83"/>
      <c r="T16" s="6"/>
      <c r="U16" s="6"/>
      <c r="V16" s="83"/>
      <c r="W16" s="6"/>
      <c r="X16" s="83"/>
      <c r="Y16" s="101"/>
      <c r="Z16" s="84"/>
      <c r="AA16" s="101"/>
      <c r="AB16" s="83"/>
      <c r="AC16" s="101"/>
      <c r="AD16" s="83"/>
      <c r="AE16" s="101"/>
      <c r="AF16" s="83"/>
      <c r="AG16" s="6"/>
      <c r="AH16" s="83"/>
      <c r="AI16" s="39"/>
      <c r="AJ16" s="5"/>
      <c r="AK16" s="5"/>
      <c r="AL16" s="19"/>
      <c r="AM16" s="208" t="s">
        <v>67</v>
      </c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80"/>
    </row>
    <row r="17" spans="1:58" ht="20.149999999999999" customHeight="1">
      <c r="A17" s="18"/>
      <c r="B17" s="194"/>
      <c r="C17" s="194"/>
      <c r="F17" s="5"/>
      <c r="G17" s="39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39"/>
      <c r="AJ17" s="5"/>
      <c r="AK17" s="5"/>
      <c r="AL17" s="19"/>
      <c r="AM17" s="208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80"/>
    </row>
    <row r="18" spans="1:58" ht="20.149999999999999" customHeight="1">
      <c r="A18" s="18"/>
      <c r="B18" s="194"/>
      <c r="C18" s="194"/>
      <c r="F18" s="5"/>
      <c r="G18" s="39"/>
      <c r="H18" s="6"/>
      <c r="I18" s="6"/>
      <c r="J18" s="6"/>
      <c r="K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E18" s="6"/>
      <c r="AF18" s="6"/>
      <c r="AG18" s="6"/>
      <c r="AH18" s="6"/>
      <c r="AI18" s="39"/>
      <c r="AJ18" s="5"/>
      <c r="AK18" s="5"/>
      <c r="AL18" s="19"/>
      <c r="AM18" s="208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80"/>
    </row>
    <row r="19" spans="1:58" ht="20.149999999999999" customHeight="1">
      <c r="A19" s="18"/>
      <c r="B19" s="194"/>
      <c r="C19" s="194"/>
      <c r="F19" s="5"/>
      <c r="G19" s="39"/>
      <c r="H19" s="6"/>
      <c r="I19" s="6"/>
      <c r="J19" s="6"/>
      <c r="K19" s="39"/>
      <c r="N19" s="6"/>
      <c r="O19" s="39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39"/>
      <c r="AB19" s="6"/>
      <c r="AE19" s="39"/>
      <c r="AF19" s="6"/>
      <c r="AG19" s="6"/>
      <c r="AH19" s="6"/>
      <c r="AI19" s="39"/>
      <c r="AJ19" s="5"/>
      <c r="AK19" s="5"/>
      <c r="AL19" s="19"/>
      <c r="AM19" s="193" t="s">
        <v>48</v>
      </c>
      <c r="AO19" s="26"/>
      <c r="AP19" s="20"/>
      <c r="AQ19" s="20"/>
      <c r="AR19" s="20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80"/>
    </row>
    <row r="20" spans="1:58" ht="20.149999999999999" customHeight="1">
      <c r="A20" s="18"/>
      <c r="B20" s="194"/>
      <c r="C20" s="194"/>
      <c r="F20" s="5"/>
      <c r="G20" s="39"/>
      <c r="H20" s="6"/>
      <c r="I20" s="6"/>
      <c r="J20" s="6"/>
      <c r="K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E20" s="6"/>
      <c r="AF20" s="6"/>
      <c r="AG20" s="6"/>
      <c r="AH20" s="6"/>
      <c r="AI20" s="39"/>
      <c r="AJ20" s="5"/>
      <c r="AK20" s="5"/>
      <c r="AL20" s="19"/>
      <c r="AM20" s="193"/>
      <c r="AO20" s="20"/>
      <c r="AP20" s="20"/>
      <c r="AQ20" s="20"/>
      <c r="AR20" s="20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80"/>
    </row>
    <row r="21" spans="1:58" ht="20.149999999999999" customHeight="1">
      <c r="A21" s="18"/>
      <c r="B21" s="194"/>
      <c r="C21" s="194"/>
      <c r="F21" s="5"/>
      <c r="G21" s="39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39"/>
      <c r="AJ21" s="5"/>
      <c r="AK21" s="5"/>
      <c r="AL21" s="19"/>
      <c r="AM21" s="193"/>
      <c r="AO21" s="27"/>
      <c r="AP21" s="27"/>
      <c r="AQ21" s="27"/>
      <c r="AR21" s="27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80"/>
    </row>
    <row r="22" spans="1:58" ht="20.149999999999999" customHeight="1">
      <c r="A22" s="18"/>
      <c r="B22" s="194"/>
      <c r="C22" s="194"/>
      <c r="F22" s="5"/>
      <c r="G22" s="84"/>
      <c r="H22" s="6"/>
      <c r="I22" s="83"/>
      <c r="J22" s="6"/>
      <c r="K22" s="83"/>
      <c r="L22" s="6"/>
      <c r="M22" s="6"/>
      <c r="N22" s="99"/>
      <c r="O22" s="100"/>
      <c r="P22" s="102"/>
      <c r="Q22" s="100"/>
      <c r="R22" s="6"/>
      <c r="S22" s="83"/>
      <c r="T22" s="6"/>
      <c r="U22" s="6"/>
      <c r="V22" s="83"/>
      <c r="W22" s="6"/>
      <c r="X22" s="83"/>
      <c r="Y22" s="101"/>
      <c r="Z22" s="84"/>
      <c r="AA22" s="101"/>
      <c r="AB22" s="83"/>
      <c r="AC22" s="101"/>
      <c r="AD22" s="83"/>
      <c r="AE22" s="101"/>
      <c r="AF22" s="83"/>
      <c r="AG22" s="6"/>
      <c r="AH22" s="83"/>
      <c r="AI22" s="39"/>
      <c r="AJ22" s="5"/>
      <c r="AK22" s="5"/>
      <c r="AL22" s="19"/>
      <c r="AM22" s="193"/>
      <c r="AO22" s="27"/>
      <c r="AP22" s="27"/>
      <c r="AQ22" s="27"/>
      <c r="AR22" s="27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80"/>
    </row>
    <row r="23" spans="1:58" ht="20.149999999999999" customHeight="1">
      <c r="A23" s="18"/>
      <c r="B23" s="194"/>
      <c r="C23" s="194"/>
      <c r="F23" s="5"/>
      <c r="G23" s="84"/>
      <c r="H23" s="6"/>
      <c r="I23" s="83"/>
      <c r="J23" s="6"/>
      <c r="K23" s="83"/>
      <c r="L23" s="6"/>
      <c r="M23" s="6"/>
      <c r="N23" s="99"/>
      <c r="O23" s="100"/>
      <c r="P23" s="6"/>
      <c r="Q23" s="100"/>
      <c r="R23" s="6"/>
      <c r="S23" s="83"/>
      <c r="T23" s="6"/>
      <c r="U23" s="6"/>
      <c r="V23" s="83"/>
      <c r="W23" s="6"/>
      <c r="X23" s="83"/>
      <c r="Y23" s="101"/>
      <c r="Z23" s="83"/>
      <c r="AA23" s="101"/>
      <c r="AB23" s="83"/>
      <c r="AC23" s="101"/>
      <c r="AD23" s="83"/>
      <c r="AE23" s="101"/>
      <c r="AF23" s="83"/>
      <c r="AG23" s="6"/>
      <c r="AH23" s="83"/>
      <c r="AI23" s="39"/>
      <c r="AJ23" s="5"/>
      <c r="AK23" s="5"/>
      <c r="AL23" s="19"/>
      <c r="AM23" s="193"/>
      <c r="AO23" s="27"/>
      <c r="AP23" s="27"/>
      <c r="AQ23" s="27"/>
      <c r="AR23" s="27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80"/>
    </row>
    <row r="24" spans="1:58" ht="20.149999999999999" customHeight="1">
      <c r="A24" s="18"/>
      <c r="B24" s="194"/>
      <c r="C24" s="194"/>
      <c r="F24" s="5"/>
      <c r="G24" s="84"/>
      <c r="H24" s="6"/>
      <c r="I24" s="83"/>
      <c r="J24" s="39" t="s">
        <v>32</v>
      </c>
      <c r="K24" s="98"/>
      <c r="L24" s="6" t="str">
        <f t="shared" ref="L24:O24" si="2">IF(VLOOKUP($AZ$2,$BQ$2:$BT$9,4,0)=0,"",VLOOKUP($AZ$2,$BQ$2:$BT$9,4,0))</f>
        <v/>
      </c>
      <c r="M24" s="6" t="str">
        <f t="shared" si="2"/>
        <v/>
      </c>
      <c r="N24" s="99" t="str">
        <f t="shared" si="2"/>
        <v/>
      </c>
      <c r="O24" s="100" t="str">
        <f t="shared" si="2"/>
        <v/>
      </c>
      <c r="P24" s="39" t="s">
        <v>32</v>
      </c>
      <c r="Q24" s="100" t="str">
        <f>IF(VLOOKUP($AZ$2,$BQ$2:$BT$9,4,0)=0,"",VLOOKUP($AZ$2,$BQ$2:$BT$9,4,0))</f>
        <v/>
      </c>
      <c r="R24" s="6"/>
      <c r="S24" s="83"/>
      <c r="T24" s="39" t="s">
        <v>32</v>
      </c>
      <c r="U24" s="6"/>
      <c r="V24" s="83" t="s">
        <v>32</v>
      </c>
      <c r="W24" s="6"/>
      <c r="X24" s="83"/>
      <c r="Y24" s="101" t="str">
        <f>IF(VLOOKUP($AZ$2,$BQ$2:$BT$9,4,0)=0,"",VLOOKUP($AZ$2,$BQ$2:$BT$9,4,0))</f>
        <v/>
      </c>
      <c r="Z24" s="39" t="s">
        <v>32</v>
      </c>
      <c r="AA24" s="101" t="str">
        <f t="shared" ref="AA24:AD24" si="3">IF(VLOOKUP($AZ$2,$BQ$2:$BT$9,4,0)=0,"",VLOOKUP($AZ$2,$BQ$2:$BT$9,4,0))</f>
        <v/>
      </c>
      <c r="AB24" s="83" t="str">
        <f t="shared" si="3"/>
        <v/>
      </c>
      <c r="AC24" s="101" t="str">
        <f t="shared" si="3"/>
        <v/>
      </c>
      <c r="AD24" s="83" t="str">
        <f t="shared" si="3"/>
        <v/>
      </c>
      <c r="AE24" s="101"/>
      <c r="AF24" s="83" t="s">
        <v>237</v>
      </c>
      <c r="AG24" s="6"/>
      <c r="AH24" s="83"/>
      <c r="AI24" s="39"/>
      <c r="AJ24" s="5"/>
      <c r="AK24" s="5"/>
      <c r="AL24" s="19"/>
      <c r="AM24" s="19"/>
      <c r="AO24" s="27"/>
      <c r="AP24" s="27"/>
      <c r="AQ24" s="27"/>
      <c r="AR24" s="27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80"/>
    </row>
    <row r="25" spans="1:58" ht="20.149999999999999" customHeight="1">
      <c r="A25" s="18"/>
      <c r="F25" s="5"/>
      <c r="G25" s="84"/>
      <c r="H25" s="6"/>
      <c r="I25" s="83"/>
      <c r="J25" s="122" t="s">
        <v>121</v>
      </c>
      <c r="K25" s="39" t="s">
        <v>32</v>
      </c>
      <c r="L25" s="102" t="s">
        <v>32</v>
      </c>
      <c r="M25" s="39" t="s">
        <v>32</v>
      </c>
      <c r="N25" s="99" t="str">
        <f>IF(VLOOKUP($AZ$2,$BQ$2:$BT$9,4,0)=0,"",VLOOKUP($AZ$2,$BQ$2:$BT$9,4,0))</f>
        <v/>
      </c>
      <c r="O25" s="39" t="s">
        <v>32</v>
      </c>
      <c r="P25" s="102" t="s">
        <v>32</v>
      </c>
      <c r="Q25" s="100" t="str">
        <f>IF(VLOOKUP($AZ$2,$BQ$2:$BT$9,4,0)=0,"",VLOOKUP($AZ$2,$BQ$2:$BT$9,4,0))</f>
        <v/>
      </c>
      <c r="R25" s="6"/>
      <c r="S25" s="83"/>
      <c r="T25" s="6"/>
      <c r="U25" s="6"/>
      <c r="V25" s="83"/>
      <c r="W25" s="6"/>
      <c r="X25" s="83"/>
      <c r="Y25" s="101" t="str">
        <f>IF(VLOOKUP($AZ$2,$BQ$2:$BT$9,4,0)=0,"",VLOOKUP($AZ$2,$BQ$2:$BT$9,4,0))</f>
        <v/>
      </c>
      <c r="Z25" s="39" t="s">
        <v>32</v>
      </c>
      <c r="AA25" s="102" t="s">
        <v>32</v>
      </c>
      <c r="AB25" s="83" t="str">
        <f>IF(VLOOKUP($AZ$2,$BQ$2:$BT$9,4,0)=0,"",VLOOKUP($AZ$2,$BQ$2:$BT$9,4,0))</f>
        <v/>
      </c>
      <c r="AC25" s="39" t="s">
        <v>32</v>
      </c>
      <c r="AD25" s="83" t="s">
        <v>32</v>
      </c>
      <c r="AE25" s="102" t="s">
        <v>32</v>
      </c>
      <c r="AF25" s="121" t="s">
        <v>121</v>
      </c>
      <c r="AG25" s="6"/>
      <c r="AH25" s="83"/>
      <c r="AI25" s="39"/>
      <c r="AJ25" s="5"/>
      <c r="AK25" s="5"/>
      <c r="AL25" s="19"/>
      <c r="AM25" s="19"/>
      <c r="AO25" s="27"/>
      <c r="AP25" s="27"/>
      <c r="AQ25" s="27"/>
      <c r="AR25" s="27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80"/>
    </row>
    <row r="26" spans="1:58" ht="20.149999999999999" customHeight="1">
      <c r="A26" s="18"/>
      <c r="F26" s="5"/>
      <c r="G26" s="83"/>
      <c r="H26" s="6"/>
      <c r="I26" s="83"/>
      <c r="J26" s="6"/>
      <c r="K26" s="83"/>
      <c r="L26" s="6"/>
      <c r="M26" s="39" t="s">
        <v>32</v>
      </c>
      <c r="N26" s="99"/>
      <c r="O26" s="100"/>
      <c r="P26" s="6"/>
      <c r="Q26" s="100"/>
      <c r="R26" s="6"/>
      <c r="S26" s="83"/>
      <c r="T26" s="6"/>
      <c r="U26" s="6"/>
      <c r="V26" s="83"/>
      <c r="W26" s="6"/>
      <c r="X26" s="83"/>
      <c r="Y26" s="101"/>
      <c r="Z26" s="83"/>
      <c r="AA26" s="101"/>
      <c r="AB26" s="83"/>
      <c r="AC26" s="39" t="s">
        <v>32</v>
      </c>
      <c r="AD26" s="83"/>
      <c r="AE26" s="101"/>
      <c r="AF26" s="83"/>
      <c r="AG26" s="6"/>
      <c r="AH26" s="83"/>
      <c r="AI26" s="6"/>
      <c r="AJ26" s="5"/>
      <c r="AK26" s="5"/>
      <c r="AL26" s="19"/>
      <c r="AM26" s="19"/>
      <c r="AO26" s="27"/>
      <c r="AP26" s="27"/>
      <c r="AQ26" s="27"/>
      <c r="AR26" s="27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80"/>
    </row>
    <row r="27" spans="1:58" ht="20.149999999999999" customHeight="1">
      <c r="A27" s="18"/>
      <c r="F27" s="7"/>
      <c r="G27" s="237">
        <v>-7</v>
      </c>
      <c r="H27" s="237"/>
      <c r="I27" s="237">
        <v>-6</v>
      </c>
      <c r="J27" s="237"/>
      <c r="K27" s="237">
        <v>-5</v>
      </c>
      <c r="L27" s="237"/>
      <c r="M27" s="237">
        <v>-4</v>
      </c>
      <c r="N27" s="237"/>
      <c r="O27" s="237">
        <v>-3</v>
      </c>
      <c r="P27" s="237"/>
      <c r="Q27" s="237">
        <v>-2</v>
      </c>
      <c r="R27" s="237"/>
      <c r="S27" s="237">
        <v>-1</v>
      </c>
      <c r="T27" s="237"/>
      <c r="U27" s="87">
        <v>0</v>
      </c>
      <c r="V27" s="237">
        <v>1</v>
      </c>
      <c r="W27" s="237"/>
      <c r="X27" s="237">
        <v>2</v>
      </c>
      <c r="Y27" s="237"/>
      <c r="Z27" s="237">
        <v>3</v>
      </c>
      <c r="AA27" s="237"/>
      <c r="AB27" s="237">
        <v>4</v>
      </c>
      <c r="AC27" s="237"/>
      <c r="AD27" s="237">
        <v>5</v>
      </c>
      <c r="AE27" s="237"/>
      <c r="AF27" s="237">
        <v>6</v>
      </c>
      <c r="AG27" s="237"/>
      <c r="AH27" s="237">
        <v>7</v>
      </c>
      <c r="AI27" s="237"/>
      <c r="AJ27" s="10"/>
      <c r="AK27" s="28"/>
      <c r="AL27" s="28"/>
      <c r="AM27" s="28"/>
      <c r="AN27" s="29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86"/>
    </row>
    <row r="28" spans="1:58" ht="20.149999999999999" customHeight="1">
      <c r="A28" s="31"/>
      <c r="B28" s="32"/>
      <c r="C28" s="32"/>
      <c r="D28" s="32"/>
      <c r="E28" s="32"/>
      <c r="F28" s="116"/>
      <c r="G28" s="116"/>
      <c r="H28" s="117">
        <v>-13</v>
      </c>
      <c r="I28" s="117">
        <v>-12</v>
      </c>
      <c r="J28" s="117">
        <v>-11</v>
      </c>
      <c r="K28" s="117">
        <v>-10</v>
      </c>
      <c r="L28" s="118">
        <v>-9</v>
      </c>
      <c r="M28" s="118">
        <v>-8</v>
      </c>
      <c r="N28" s="118">
        <v>-7</v>
      </c>
      <c r="O28" s="118">
        <v>-6</v>
      </c>
      <c r="P28" s="118">
        <v>-5</v>
      </c>
      <c r="Q28" s="118">
        <v>-4</v>
      </c>
      <c r="R28" s="118">
        <v>-3</v>
      </c>
      <c r="S28" s="118">
        <v>-2</v>
      </c>
      <c r="T28" s="118">
        <v>-1</v>
      </c>
      <c r="U28" s="118">
        <v>0</v>
      </c>
      <c r="V28" s="118">
        <v>1</v>
      </c>
      <c r="W28" s="118">
        <v>2</v>
      </c>
      <c r="X28" s="118">
        <v>3</v>
      </c>
      <c r="Y28" s="118">
        <v>4</v>
      </c>
      <c r="Z28" s="118">
        <v>5</v>
      </c>
      <c r="AA28" s="118">
        <v>6</v>
      </c>
      <c r="AB28" s="118">
        <v>7</v>
      </c>
      <c r="AC28" s="118">
        <v>8</v>
      </c>
      <c r="AD28" s="118">
        <v>9</v>
      </c>
      <c r="AE28" s="117">
        <v>10</v>
      </c>
      <c r="AF28" s="117">
        <v>11</v>
      </c>
      <c r="AG28" s="117">
        <v>12</v>
      </c>
      <c r="AH28" s="117">
        <v>13</v>
      </c>
      <c r="AI28" s="119"/>
      <c r="AJ28" s="117"/>
      <c r="AK28" s="19"/>
      <c r="AL28" s="19"/>
      <c r="AM28" s="19"/>
      <c r="AT28" s="20"/>
      <c r="AU28" s="20"/>
      <c r="AV28" s="20" t="s">
        <v>21</v>
      </c>
      <c r="AW28" s="20"/>
      <c r="AX28" s="20"/>
      <c r="AY28" s="20"/>
      <c r="AZ28" s="71"/>
      <c r="BA28" s="23" t="s">
        <v>64</v>
      </c>
      <c r="BB28" s="20" t="s">
        <v>239</v>
      </c>
      <c r="BC28" s="20"/>
      <c r="BD28" s="20"/>
      <c r="BF28" s="25"/>
    </row>
    <row r="29" spans="1:58" ht="20.149999999999999" customHeight="1">
      <c r="A29" s="18"/>
      <c r="F29" s="115"/>
      <c r="G29" s="115">
        <v>6</v>
      </c>
      <c r="H29" s="6" t="s">
        <v>32</v>
      </c>
      <c r="I29" s="6" t="s">
        <v>32</v>
      </c>
      <c r="J29" s="6" t="s">
        <v>32</v>
      </c>
      <c r="K29" s="6" t="s">
        <v>32</v>
      </c>
      <c r="L29" s="6" t="s">
        <v>32</v>
      </c>
      <c r="M29" s="6" t="s">
        <v>32</v>
      </c>
      <c r="N29" s="6" t="s">
        <v>32</v>
      </c>
      <c r="O29" s="6" t="s">
        <v>32</v>
      </c>
      <c r="P29" s="6" t="s">
        <v>32</v>
      </c>
      <c r="Q29" s="6" t="s">
        <v>32</v>
      </c>
      <c r="R29" s="6" t="s">
        <v>32</v>
      </c>
      <c r="S29" s="6" t="s">
        <v>32</v>
      </c>
      <c r="T29" s="6" t="s">
        <v>32</v>
      </c>
      <c r="U29" s="6" t="s">
        <v>32</v>
      </c>
      <c r="V29" s="6" t="s">
        <v>32</v>
      </c>
      <c r="W29" s="6" t="s">
        <v>32</v>
      </c>
      <c r="X29" s="6" t="s">
        <v>32</v>
      </c>
      <c r="Y29" s="6" t="s">
        <v>32</v>
      </c>
      <c r="Z29" s="6" t="s">
        <v>32</v>
      </c>
      <c r="AA29" s="6" t="s">
        <v>32</v>
      </c>
      <c r="AB29" s="6" t="s">
        <v>32</v>
      </c>
      <c r="AC29" s="6" t="s">
        <v>32</v>
      </c>
      <c r="AD29" s="6" t="s">
        <v>32</v>
      </c>
      <c r="AE29" s="6" t="s">
        <v>32</v>
      </c>
      <c r="AF29" s="6" t="s">
        <v>32</v>
      </c>
      <c r="AG29" s="6" t="s">
        <v>32</v>
      </c>
      <c r="AH29" s="6" t="s">
        <v>32</v>
      </c>
      <c r="AI29" s="118">
        <v>6</v>
      </c>
      <c r="AJ29" s="6"/>
      <c r="AK29" s="19"/>
      <c r="AL29" s="19"/>
      <c r="AM29" s="19"/>
      <c r="AT29" s="20"/>
      <c r="AU29" s="20"/>
      <c r="AV29" s="20"/>
      <c r="AW29" s="20"/>
      <c r="AX29" s="20"/>
      <c r="AY29" s="20"/>
      <c r="AZ29" s="71"/>
      <c r="BA29" s="103" t="s">
        <v>32</v>
      </c>
      <c r="BB29" s="20" t="s">
        <v>240</v>
      </c>
      <c r="BC29" s="20"/>
      <c r="BD29" s="20"/>
      <c r="BF29" s="25"/>
    </row>
    <row r="30" spans="1:58" ht="20.149999999999999" customHeight="1">
      <c r="A30" s="18"/>
      <c r="F30" s="115"/>
      <c r="G30" s="115">
        <v>5</v>
      </c>
      <c r="H30" s="6" t="s">
        <v>32</v>
      </c>
      <c r="I30" s="6" t="s">
        <v>32</v>
      </c>
      <c r="J30" s="6" t="s">
        <v>32</v>
      </c>
      <c r="K30" s="6" t="s">
        <v>32</v>
      </c>
      <c r="L30" s="6" t="s">
        <v>32</v>
      </c>
      <c r="M30" s="6" t="s">
        <v>32</v>
      </c>
      <c r="N30" s="6" t="s">
        <v>32</v>
      </c>
      <c r="O30" s="6" t="s">
        <v>32</v>
      </c>
      <c r="P30" s="6" t="s">
        <v>32</v>
      </c>
      <c r="Q30" s="6" t="s">
        <v>32</v>
      </c>
      <c r="R30" s="6" t="s">
        <v>32</v>
      </c>
      <c r="S30" s="6" t="s">
        <v>19</v>
      </c>
      <c r="T30" s="6" t="s">
        <v>32</v>
      </c>
      <c r="U30" s="6" t="s">
        <v>32</v>
      </c>
      <c r="V30" s="6" t="s">
        <v>32</v>
      </c>
      <c r="W30" s="6" t="s">
        <v>19</v>
      </c>
      <c r="X30" s="6" t="s">
        <v>32</v>
      </c>
      <c r="Y30" s="6" t="s">
        <v>32</v>
      </c>
      <c r="Z30" s="6" t="s">
        <v>32</v>
      </c>
      <c r="AA30" s="6" t="s">
        <v>19</v>
      </c>
      <c r="AB30" s="6" t="s">
        <v>32</v>
      </c>
      <c r="AC30" s="6" t="s">
        <v>32</v>
      </c>
      <c r="AD30" s="6" t="s">
        <v>32</v>
      </c>
      <c r="AE30" s="6" t="s">
        <v>19</v>
      </c>
      <c r="AF30" s="6" t="s">
        <v>32</v>
      </c>
      <c r="AG30" s="6" t="s">
        <v>32</v>
      </c>
      <c r="AH30" s="6" t="s">
        <v>32</v>
      </c>
      <c r="AI30" s="118">
        <v>5</v>
      </c>
      <c r="AJ30" s="6"/>
      <c r="AK30" s="19"/>
      <c r="AL30" s="19"/>
      <c r="AM30" s="19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F30" s="25"/>
    </row>
    <row r="31" spans="1:58" ht="20.149999999999999" customHeight="1">
      <c r="A31" s="18"/>
      <c r="B31" s="194" t="s">
        <v>23</v>
      </c>
      <c r="C31" s="194"/>
      <c r="F31" s="115"/>
      <c r="G31" s="115">
        <v>4</v>
      </c>
      <c r="H31" s="6" t="s">
        <v>32</v>
      </c>
      <c r="I31" s="6" t="s">
        <v>32</v>
      </c>
      <c r="J31" s="6" t="s">
        <v>32</v>
      </c>
      <c r="K31" s="6" t="s">
        <v>32</v>
      </c>
      <c r="L31" s="6" t="s">
        <v>32</v>
      </c>
      <c r="M31" s="6" t="s">
        <v>19</v>
      </c>
      <c r="N31" s="6" t="s">
        <v>32</v>
      </c>
      <c r="O31" s="6" t="s">
        <v>32</v>
      </c>
      <c r="P31" s="6" t="s">
        <v>32</v>
      </c>
      <c r="Q31" s="6" t="s">
        <v>32</v>
      </c>
      <c r="R31" s="6" t="s">
        <v>32</v>
      </c>
      <c r="S31" s="6" t="s">
        <v>19</v>
      </c>
      <c r="T31" s="6" t="s">
        <v>32</v>
      </c>
      <c r="U31" s="6" t="s">
        <v>19</v>
      </c>
      <c r="V31" s="6" t="s">
        <v>32</v>
      </c>
      <c r="W31" s="6" t="s">
        <v>32</v>
      </c>
      <c r="X31" s="6" t="s">
        <v>32</v>
      </c>
      <c r="Y31" s="6" t="s">
        <v>19</v>
      </c>
      <c r="Z31" s="6" t="s">
        <v>32</v>
      </c>
      <c r="AA31" s="6" t="s">
        <v>32</v>
      </c>
      <c r="AB31" s="6" t="s">
        <v>32</v>
      </c>
      <c r="AC31" s="6" t="s">
        <v>19</v>
      </c>
      <c r="AD31" s="6" t="s">
        <v>32</v>
      </c>
      <c r="AE31" s="6" t="s">
        <v>32</v>
      </c>
      <c r="AF31" s="6" t="s">
        <v>32</v>
      </c>
      <c r="AG31" s="6" t="s">
        <v>32</v>
      </c>
      <c r="AH31" s="6" t="s">
        <v>32</v>
      </c>
      <c r="AI31" s="118">
        <v>4</v>
      </c>
      <c r="AJ31" s="6"/>
      <c r="AK31" s="19"/>
      <c r="AL31" s="19"/>
      <c r="AM31" s="19"/>
      <c r="BF31" s="25"/>
    </row>
    <row r="32" spans="1:58" ht="20.149999999999999" customHeight="1">
      <c r="A32" s="18"/>
      <c r="B32" s="194"/>
      <c r="C32" s="194"/>
      <c r="F32" s="115"/>
      <c r="G32" s="115">
        <v>3</v>
      </c>
      <c r="H32" s="6" t="s">
        <v>32</v>
      </c>
      <c r="I32" s="6" t="s">
        <v>32</v>
      </c>
      <c r="J32" s="6" t="s">
        <v>32</v>
      </c>
      <c r="K32" s="6" t="s">
        <v>32</v>
      </c>
      <c r="L32" s="6" t="s">
        <v>19</v>
      </c>
      <c r="M32" s="6" t="s">
        <v>32</v>
      </c>
      <c r="N32" s="6" t="s">
        <v>32</v>
      </c>
      <c r="O32" s="6" t="s">
        <v>32</v>
      </c>
      <c r="P32" s="6" t="s">
        <v>32</v>
      </c>
      <c r="Q32" s="6" t="s">
        <v>32</v>
      </c>
      <c r="R32" s="6" t="s">
        <v>19</v>
      </c>
      <c r="S32" s="6" t="s">
        <v>32</v>
      </c>
      <c r="T32" s="6" t="s">
        <v>19</v>
      </c>
      <c r="U32" s="6" t="s">
        <v>32</v>
      </c>
      <c r="V32" s="6" t="s">
        <v>32</v>
      </c>
      <c r="W32" s="6" t="s">
        <v>19</v>
      </c>
      <c r="X32" s="6" t="s">
        <v>32</v>
      </c>
      <c r="Y32" s="6" t="s">
        <v>32</v>
      </c>
      <c r="Z32" s="6" t="s">
        <v>32</v>
      </c>
      <c r="AA32" s="6" t="s">
        <v>32</v>
      </c>
      <c r="AB32" s="6" t="s">
        <v>32</v>
      </c>
      <c r="AC32" s="6" t="s">
        <v>32</v>
      </c>
      <c r="AD32" s="6" t="s">
        <v>19</v>
      </c>
      <c r="AE32" s="6" t="s">
        <v>32</v>
      </c>
      <c r="AF32" s="6" t="s">
        <v>32</v>
      </c>
      <c r="AG32" s="6" t="s">
        <v>32</v>
      </c>
      <c r="AH32" s="6" t="s">
        <v>32</v>
      </c>
      <c r="AI32" s="118">
        <v>3</v>
      </c>
      <c r="AJ32" s="6"/>
      <c r="AK32" s="19"/>
      <c r="AL32" s="19"/>
      <c r="AM32" s="19"/>
      <c r="BF32" s="25"/>
    </row>
    <row r="33" spans="1:58" ht="20.149999999999999" customHeight="1">
      <c r="A33" s="18"/>
      <c r="B33" s="194"/>
      <c r="C33" s="194"/>
      <c r="F33" s="115"/>
      <c r="G33" s="115">
        <v>2</v>
      </c>
      <c r="H33" s="6" t="s">
        <v>32</v>
      </c>
      <c r="I33" s="6" t="s">
        <v>32</v>
      </c>
      <c r="J33" s="6" t="s">
        <v>32</v>
      </c>
      <c r="K33" s="6" t="s">
        <v>32</v>
      </c>
      <c r="L33" s="6" t="s">
        <v>19</v>
      </c>
      <c r="M33" s="6" t="s">
        <v>19</v>
      </c>
      <c r="N33" s="6" t="s">
        <v>19</v>
      </c>
      <c r="O33" s="6" t="s">
        <v>32</v>
      </c>
      <c r="P33" s="6" t="s">
        <v>32</v>
      </c>
      <c r="Q33" s="6" t="s">
        <v>19</v>
      </c>
      <c r="R33" s="6" t="s">
        <v>32</v>
      </c>
      <c r="S33" s="6" t="s">
        <v>32</v>
      </c>
      <c r="T33" s="6" t="s">
        <v>32</v>
      </c>
      <c r="U33" s="6" t="s">
        <v>32</v>
      </c>
      <c r="V33" s="6" t="s">
        <v>32</v>
      </c>
      <c r="W33" s="6" t="s">
        <v>32</v>
      </c>
      <c r="X33" s="6" t="s">
        <v>32</v>
      </c>
      <c r="Y33" s="6" t="s">
        <v>32</v>
      </c>
      <c r="Z33" s="6" t="s">
        <v>32</v>
      </c>
      <c r="AA33" s="6" t="s">
        <v>32</v>
      </c>
      <c r="AB33" s="6" t="s">
        <v>32</v>
      </c>
      <c r="AC33" s="6" t="s">
        <v>32</v>
      </c>
      <c r="AD33" s="6" t="s">
        <v>32</v>
      </c>
      <c r="AE33" s="6" t="s">
        <v>19</v>
      </c>
      <c r="AF33" s="6" t="s">
        <v>32</v>
      </c>
      <c r="AG33" s="6" t="s">
        <v>32</v>
      </c>
      <c r="AH33" s="6" t="s">
        <v>32</v>
      </c>
      <c r="AI33" s="118">
        <v>2</v>
      </c>
      <c r="AJ33" s="6"/>
      <c r="AK33" s="19"/>
      <c r="AL33" s="19"/>
      <c r="AM33" s="19"/>
      <c r="BF33" s="25"/>
    </row>
    <row r="34" spans="1:58" ht="20.149999999999999" customHeight="1">
      <c r="A34" s="18"/>
      <c r="B34" s="194"/>
      <c r="C34" s="194"/>
      <c r="F34" s="115"/>
      <c r="G34" s="115">
        <v>1</v>
      </c>
      <c r="H34" s="6" t="s">
        <v>32</v>
      </c>
      <c r="I34" s="6" t="s">
        <v>32</v>
      </c>
      <c r="J34" s="6" t="s">
        <v>32</v>
      </c>
      <c r="K34" s="6" t="s">
        <v>32</v>
      </c>
      <c r="L34" s="6" t="s">
        <v>19</v>
      </c>
      <c r="M34" s="6" t="s">
        <v>32</v>
      </c>
      <c r="N34" s="6" t="s">
        <v>32</v>
      </c>
      <c r="O34" s="6" t="s">
        <v>19</v>
      </c>
      <c r="P34" s="6" t="s">
        <v>19</v>
      </c>
      <c r="Q34" s="6" t="s">
        <v>32</v>
      </c>
      <c r="R34" s="6" t="s">
        <v>32</v>
      </c>
      <c r="S34" s="6" t="s">
        <v>32</v>
      </c>
      <c r="T34" s="6" t="s">
        <v>32</v>
      </c>
      <c r="U34" s="6" t="s">
        <v>32</v>
      </c>
      <c r="V34" s="6" t="s">
        <v>32</v>
      </c>
      <c r="W34" s="6" t="s">
        <v>19</v>
      </c>
      <c r="X34" s="6" t="s">
        <v>32</v>
      </c>
      <c r="Y34" s="6" t="s">
        <v>32</v>
      </c>
      <c r="Z34" s="6" t="s">
        <v>32</v>
      </c>
      <c r="AA34" s="6" t="s">
        <v>32</v>
      </c>
      <c r="AB34" s="6" t="s">
        <v>19</v>
      </c>
      <c r="AC34" s="6" t="s">
        <v>32</v>
      </c>
      <c r="AD34" s="6" t="s">
        <v>32</v>
      </c>
      <c r="AE34" s="6" t="s">
        <v>32</v>
      </c>
      <c r="AF34" s="6" t="s">
        <v>32</v>
      </c>
      <c r="AG34" s="6" t="s">
        <v>32</v>
      </c>
      <c r="AH34" s="6" t="s">
        <v>32</v>
      </c>
      <c r="AI34" s="118">
        <v>1</v>
      </c>
      <c r="AJ34" s="6"/>
      <c r="AK34" s="19"/>
      <c r="AL34" s="19"/>
      <c r="AM34" s="19"/>
      <c r="BF34" s="25"/>
    </row>
    <row r="35" spans="1:58" ht="20.149999999999999" customHeight="1">
      <c r="A35" s="18"/>
      <c r="B35" s="194"/>
      <c r="C35" s="194"/>
      <c r="F35" s="115"/>
      <c r="G35" s="115">
        <v>0</v>
      </c>
      <c r="H35" s="6" t="s">
        <v>32</v>
      </c>
      <c r="I35" s="6" t="s">
        <v>32</v>
      </c>
      <c r="J35" s="6" t="s">
        <v>32</v>
      </c>
      <c r="K35" s="6" t="s">
        <v>32</v>
      </c>
      <c r="L35" s="6" t="s">
        <v>32</v>
      </c>
      <c r="M35" s="6" t="s">
        <v>32</v>
      </c>
      <c r="N35" s="6" t="s">
        <v>32</v>
      </c>
      <c r="O35" s="6" t="s">
        <v>19</v>
      </c>
      <c r="P35" s="6" t="s">
        <v>32</v>
      </c>
      <c r="Q35" s="6" t="s">
        <v>32</v>
      </c>
      <c r="R35" s="6" t="s">
        <v>32</v>
      </c>
      <c r="S35" s="6" t="s">
        <v>32</v>
      </c>
      <c r="T35" s="6" t="s">
        <v>32</v>
      </c>
      <c r="U35" s="6" t="s">
        <v>32</v>
      </c>
      <c r="V35" s="6" t="s">
        <v>32</v>
      </c>
      <c r="W35" s="6" t="s">
        <v>32</v>
      </c>
      <c r="X35" s="6" t="s">
        <v>32</v>
      </c>
      <c r="Y35" s="6" t="s">
        <v>32</v>
      </c>
      <c r="Z35" s="6" t="s">
        <v>32</v>
      </c>
      <c r="AA35" s="6" t="s">
        <v>32</v>
      </c>
      <c r="AB35" s="6" t="s">
        <v>32</v>
      </c>
      <c r="AC35" s="6" t="s">
        <v>32</v>
      </c>
      <c r="AD35" s="6" t="s">
        <v>32</v>
      </c>
      <c r="AE35" s="6" t="s">
        <v>19</v>
      </c>
      <c r="AF35" s="6" t="s">
        <v>32</v>
      </c>
      <c r="AG35" s="6" t="s">
        <v>32</v>
      </c>
      <c r="AH35" s="6" t="s">
        <v>32</v>
      </c>
      <c r="AI35" s="118">
        <v>0</v>
      </c>
      <c r="AJ35" s="6"/>
      <c r="AK35" s="19"/>
      <c r="AL35" s="19"/>
      <c r="AM35" s="19"/>
      <c r="BF35" s="25"/>
    </row>
    <row r="36" spans="1:58" ht="20.149999999999999" customHeight="1">
      <c r="A36" s="18"/>
      <c r="B36" s="194"/>
      <c r="C36" s="194"/>
      <c r="F36" s="115"/>
      <c r="G36" s="115">
        <v>1</v>
      </c>
      <c r="H36" s="6" t="s">
        <v>32</v>
      </c>
      <c r="I36" s="6" t="s">
        <v>32</v>
      </c>
      <c r="J36" s="6" t="s">
        <v>32</v>
      </c>
      <c r="K36" s="6" t="s">
        <v>19</v>
      </c>
      <c r="L36" s="6" t="s">
        <v>19</v>
      </c>
      <c r="M36" s="6" t="s">
        <v>32</v>
      </c>
      <c r="N36" s="6" t="s">
        <v>32</v>
      </c>
      <c r="O36" s="6" t="s">
        <v>19</v>
      </c>
      <c r="P36" s="6" t="s">
        <v>32</v>
      </c>
      <c r="Q36" s="6" t="s">
        <v>32</v>
      </c>
      <c r="R36" s="6" t="s">
        <v>19</v>
      </c>
      <c r="S36" s="6" t="s">
        <v>32</v>
      </c>
      <c r="T36" s="6" t="s">
        <v>32</v>
      </c>
      <c r="U36" s="6" t="s">
        <v>32</v>
      </c>
      <c r="V36" s="6" t="s">
        <v>32</v>
      </c>
      <c r="W36" s="6" t="s">
        <v>19</v>
      </c>
      <c r="X36" s="6" t="s">
        <v>32</v>
      </c>
      <c r="Y36" s="6" t="s">
        <v>19</v>
      </c>
      <c r="Z36" s="6" t="s">
        <v>32</v>
      </c>
      <c r="AA36" s="6" t="s">
        <v>32</v>
      </c>
      <c r="AB36" s="6" t="s">
        <v>32</v>
      </c>
      <c r="AC36" s="6" t="s">
        <v>19</v>
      </c>
      <c r="AD36" s="6" t="s">
        <v>19</v>
      </c>
      <c r="AE36" s="6" t="s">
        <v>32</v>
      </c>
      <c r="AF36" s="6" t="s">
        <v>32</v>
      </c>
      <c r="AG36" s="6" t="s">
        <v>32</v>
      </c>
      <c r="AH36" s="6" t="s">
        <v>32</v>
      </c>
      <c r="AI36" s="115">
        <v>1</v>
      </c>
      <c r="AJ36" s="6"/>
      <c r="AK36" s="19"/>
      <c r="AL36" s="19"/>
      <c r="AM36" s="19"/>
      <c r="BF36" s="25"/>
    </row>
    <row r="37" spans="1:58" ht="20.149999999999999" customHeight="1">
      <c r="A37" s="18"/>
      <c r="B37" s="194"/>
      <c r="C37" s="194"/>
      <c r="F37" s="115"/>
      <c r="G37" s="115">
        <v>2</v>
      </c>
      <c r="H37" s="6" t="s">
        <v>32</v>
      </c>
      <c r="I37" s="6" t="s">
        <v>32</v>
      </c>
      <c r="J37" s="6" t="s">
        <v>32</v>
      </c>
      <c r="K37" s="6" t="s">
        <v>32</v>
      </c>
      <c r="L37" s="6" t="s">
        <v>32</v>
      </c>
      <c r="M37" s="6" t="s">
        <v>19</v>
      </c>
      <c r="N37" s="6" t="s">
        <v>32</v>
      </c>
      <c r="O37" s="6" t="s">
        <v>19</v>
      </c>
      <c r="P37" s="6" t="s">
        <v>32</v>
      </c>
      <c r="Q37" s="6" t="s">
        <v>19</v>
      </c>
      <c r="R37" s="6" t="s">
        <v>32</v>
      </c>
      <c r="S37" s="6" t="s">
        <v>32</v>
      </c>
      <c r="T37" s="6" t="s">
        <v>32</v>
      </c>
      <c r="U37" s="6" t="s">
        <v>32</v>
      </c>
      <c r="V37" s="6" t="s">
        <v>32</v>
      </c>
      <c r="W37" s="6" t="s">
        <v>32</v>
      </c>
      <c r="X37" s="6" t="s">
        <v>32</v>
      </c>
      <c r="Y37" s="6" t="s">
        <v>32</v>
      </c>
      <c r="Z37" s="6" t="s">
        <v>32</v>
      </c>
      <c r="AA37" s="6" t="s">
        <v>19</v>
      </c>
      <c r="AB37" s="6" t="s">
        <v>19</v>
      </c>
      <c r="AC37" s="6" t="s">
        <v>32</v>
      </c>
      <c r="AD37" s="6" t="s">
        <v>32</v>
      </c>
      <c r="AE37" s="6" t="s">
        <v>32</v>
      </c>
      <c r="AF37" s="6" t="s">
        <v>32</v>
      </c>
      <c r="AG37" s="6" t="s">
        <v>32</v>
      </c>
      <c r="AH37" s="6" t="s">
        <v>32</v>
      </c>
      <c r="AI37" s="115">
        <v>2</v>
      </c>
      <c r="AJ37" s="6"/>
      <c r="AK37" s="19"/>
      <c r="AL37" s="19"/>
      <c r="AM37" s="19"/>
      <c r="AO37" s="40"/>
      <c r="BF37" s="25"/>
    </row>
    <row r="38" spans="1:58" ht="20.149999999999999" customHeight="1">
      <c r="A38" s="18"/>
      <c r="B38" s="194"/>
      <c r="C38" s="194"/>
      <c r="F38" s="115"/>
      <c r="G38" s="115">
        <v>3</v>
      </c>
      <c r="H38" s="6" t="s">
        <v>32</v>
      </c>
      <c r="I38" s="6" t="s">
        <v>32</v>
      </c>
      <c r="J38" s="6" t="s">
        <v>32</v>
      </c>
      <c r="K38" s="6" t="s">
        <v>32</v>
      </c>
      <c r="L38" s="6" t="s">
        <v>32</v>
      </c>
      <c r="M38" s="6" t="s">
        <v>32</v>
      </c>
      <c r="N38" s="6" t="s">
        <v>32</v>
      </c>
      <c r="O38" s="6" t="s">
        <v>19</v>
      </c>
      <c r="P38" s="6" t="s">
        <v>19</v>
      </c>
      <c r="Q38" s="6" t="s">
        <v>32</v>
      </c>
      <c r="R38" s="6" t="s">
        <v>32</v>
      </c>
      <c r="S38" s="6" t="s">
        <v>32</v>
      </c>
      <c r="T38" s="6" t="s">
        <v>32</v>
      </c>
      <c r="U38" s="6" t="s">
        <v>32</v>
      </c>
      <c r="V38" s="6" t="s">
        <v>32</v>
      </c>
      <c r="W38" s="6" t="s">
        <v>19</v>
      </c>
      <c r="X38" s="6" t="s">
        <v>32</v>
      </c>
      <c r="Y38" s="6" t="s">
        <v>32</v>
      </c>
      <c r="Z38" s="6" t="s">
        <v>19</v>
      </c>
      <c r="AA38" s="6" t="s">
        <v>32</v>
      </c>
      <c r="AB38" s="6" t="s">
        <v>32</v>
      </c>
      <c r="AC38" s="6" t="s">
        <v>32</v>
      </c>
      <c r="AD38" s="6" t="s">
        <v>32</v>
      </c>
      <c r="AE38" s="6" t="s">
        <v>32</v>
      </c>
      <c r="AF38" s="6" t="s">
        <v>32</v>
      </c>
      <c r="AG38" s="6" t="s">
        <v>32</v>
      </c>
      <c r="AH38" s="6" t="s">
        <v>32</v>
      </c>
      <c r="AI38" s="115">
        <v>3</v>
      </c>
      <c r="AJ38" s="6"/>
      <c r="AK38" s="19"/>
      <c r="AL38" s="19"/>
      <c r="AM38" s="19"/>
      <c r="AO38" s="40"/>
      <c r="BF38" s="25"/>
    </row>
    <row r="39" spans="1:58" ht="20.149999999999999" customHeight="1">
      <c r="A39" s="18"/>
      <c r="B39" s="194"/>
      <c r="C39" s="194"/>
      <c r="F39" s="115"/>
      <c r="G39" s="115">
        <v>4</v>
      </c>
      <c r="H39" s="6" t="s">
        <v>32</v>
      </c>
      <c r="I39" s="6" t="s">
        <v>32</v>
      </c>
      <c r="J39" s="6" t="s">
        <v>32</v>
      </c>
      <c r="K39" s="6" t="s">
        <v>32</v>
      </c>
      <c r="L39" s="6" t="s">
        <v>32</v>
      </c>
      <c r="M39" s="6" t="s">
        <v>32</v>
      </c>
      <c r="N39" s="6" t="s">
        <v>32</v>
      </c>
      <c r="O39" s="6" t="s">
        <v>32</v>
      </c>
      <c r="P39" s="6" t="s">
        <v>32</v>
      </c>
      <c r="Q39" s="6" t="s">
        <v>19</v>
      </c>
      <c r="R39" s="6" t="s">
        <v>32</v>
      </c>
      <c r="S39" s="6" t="s">
        <v>32</v>
      </c>
      <c r="T39" s="6" t="s">
        <v>32</v>
      </c>
      <c r="U39" s="6" t="s">
        <v>32</v>
      </c>
      <c r="V39" s="6" t="s">
        <v>32</v>
      </c>
      <c r="W39" s="6" t="s">
        <v>19</v>
      </c>
      <c r="X39" s="6" t="s">
        <v>32</v>
      </c>
      <c r="Y39" s="6" t="s">
        <v>32</v>
      </c>
      <c r="Z39" s="6" t="s">
        <v>32</v>
      </c>
      <c r="AA39" s="6" t="s">
        <v>32</v>
      </c>
      <c r="AB39" s="6" t="s">
        <v>32</v>
      </c>
      <c r="AC39" s="6" t="s">
        <v>32</v>
      </c>
      <c r="AD39" s="6" t="s">
        <v>32</v>
      </c>
      <c r="AE39" s="6" t="s">
        <v>32</v>
      </c>
      <c r="AF39" s="6" t="s">
        <v>32</v>
      </c>
      <c r="AG39" s="6" t="s">
        <v>32</v>
      </c>
      <c r="AH39" s="6" t="s">
        <v>32</v>
      </c>
      <c r="AI39" s="118">
        <v>4</v>
      </c>
      <c r="AJ39" s="6"/>
      <c r="AK39" s="19"/>
      <c r="AL39" s="19"/>
      <c r="AM39" s="19"/>
      <c r="AO39" s="40"/>
      <c r="BF39" s="25"/>
    </row>
    <row r="40" spans="1:58" ht="20.149999999999999" customHeight="1">
      <c r="A40" s="18"/>
      <c r="B40" s="194"/>
      <c r="C40" s="194"/>
      <c r="F40" s="115"/>
      <c r="G40" s="115">
        <v>5</v>
      </c>
      <c r="H40" s="6" t="s">
        <v>32</v>
      </c>
      <c r="I40" s="6" t="s">
        <v>32</v>
      </c>
      <c r="J40" s="6" t="s">
        <v>32</v>
      </c>
      <c r="K40" s="6" t="s">
        <v>32</v>
      </c>
      <c r="L40" s="6" t="s">
        <v>32</v>
      </c>
      <c r="M40" s="6" t="s">
        <v>32</v>
      </c>
      <c r="N40" s="6" t="s">
        <v>32</v>
      </c>
      <c r="O40" s="6" t="s">
        <v>32</v>
      </c>
      <c r="P40" s="6" t="s">
        <v>32</v>
      </c>
      <c r="Q40" s="6" t="s">
        <v>32</v>
      </c>
      <c r="R40" s="6" t="s">
        <v>32</v>
      </c>
      <c r="S40" s="6" t="s">
        <v>32</v>
      </c>
      <c r="T40" s="6" t="s">
        <v>32</v>
      </c>
      <c r="U40" s="6" t="s">
        <v>32</v>
      </c>
      <c r="V40" s="6" t="s">
        <v>32</v>
      </c>
      <c r="W40" s="6" t="s">
        <v>32</v>
      </c>
      <c r="X40" s="6" t="s">
        <v>32</v>
      </c>
      <c r="Y40" s="6" t="s">
        <v>32</v>
      </c>
      <c r="Z40" s="6" t="s">
        <v>32</v>
      </c>
      <c r="AA40" s="6" t="s">
        <v>32</v>
      </c>
      <c r="AB40" s="6" t="s">
        <v>32</v>
      </c>
      <c r="AC40" s="6" t="s">
        <v>32</v>
      </c>
      <c r="AD40" s="6" t="s">
        <v>32</v>
      </c>
      <c r="AE40" s="6" t="s">
        <v>32</v>
      </c>
      <c r="AF40" s="6" t="s">
        <v>32</v>
      </c>
      <c r="AG40" s="6" t="s">
        <v>32</v>
      </c>
      <c r="AH40" s="6" t="s">
        <v>32</v>
      </c>
      <c r="AI40" s="118">
        <v>5</v>
      </c>
      <c r="AJ40" s="6"/>
      <c r="AK40" s="19"/>
      <c r="AL40" s="19"/>
      <c r="AM40" s="19"/>
      <c r="AO40" s="20"/>
      <c r="AP40" s="20"/>
      <c r="AQ40" s="20"/>
      <c r="AR40" s="20"/>
      <c r="AS40" s="218" t="s">
        <v>62</v>
      </c>
      <c r="AT40" s="218"/>
      <c r="AU40" s="218"/>
      <c r="AV40" s="218"/>
      <c r="AW40" s="218"/>
      <c r="AX40" s="218"/>
      <c r="AY40" s="218"/>
      <c r="AZ40" s="218">
        <v>45</v>
      </c>
      <c r="BA40" s="218"/>
      <c r="BB40" s="218"/>
      <c r="BC40" s="218"/>
      <c r="BD40" s="218"/>
      <c r="BE40" s="218"/>
      <c r="BF40" s="219"/>
    </row>
    <row r="41" spans="1:58" ht="20.149999999999999" customHeight="1">
      <c r="A41" s="18"/>
      <c r="B41" s="194"/>
      <c r="C41" s="194"/>
      <c r="F41" s="115"/>
      <c r="G41" s="115">
        <v>6</v>
      </c>
      <c r="H41" s="6" t="s">
        <v>32</v>
      </c>
      <c r="I41" s="6" t="s">
        <v>32</v>
      </c>
      <c r="J41" s="6" t="s">
        <v>32</v>
      </c>
      <c r="K41" s="6" t="s">
        <v>32</v>
      </c>
      <c r="L41" s="6" t="s">
        <v>32</v>
      </c>
      <c r="M41" s="6" t="s">
        <v>32</v>
      </c>
      <c r="N41" s="6" t="s">
        <v>32</v>
      </c>
      <c r="O41" s="6" t="s">
        <v>32</v>
      </c>
      <c r="P41" s="6" t="s">
        <v>32</v>
      </c>
      <c r="Q41" s="6" t="s">
        <v>32</v>
      </c>
      <c r="R41" s="6" t="s">
        <v>32</v>
      </c>
      <c r="S41" s="6" t="s">
        <v>32</v>
      </c>
      <c r="T41" s="6" t="s">
        <v>32</v>
      </c>
      <c r="U41" s="6" t="s">
        <v>32</v>
      </c>
      <c r="V41" s="6" t="s">
        <v>32</v>
      </c>
      <c r="W41" s="6" t="s">
        <v>32</v>
      </c>
      <c r="X41" s="6" t="s">
        <v>32</v>
      </c>
      <c r="Y41" s="6" t="s">
        <v>32</v>
      </c>
      <c r="Z41" s="6" t="s">
        <v>32</v>
      </c>
      <c r="AA41" s="6" t="s">
        <v>32</v>
      </c>
      <c r="AB41" s="6" t="s">
        <v>32</v>
      </c>
      <c r="AC41" s="6" t="s">
        <v>32</v>
      </c>
      <c r="AD41" s="6" t="s">
        <v>32</v>
      </c>
      <c r="AE41" s="6" t="s">
        <v>32</v>
      </c>
      <c r="AF41" s="6" t="s">
        <v>32</v>
      </c>
      <c r="AG41" s="6" t="s">
        <v>32</v>
      </c>
      <c r="AH41" s="6" t="s">
        <v>32</v>
      </c>
      <c r="AI41" s="115">
        <v>6</v>
      </c>
      <c r="AJ41" s="6"/>
      <c r="AK41" s="19"/>
      <c r="AL41" s="19"/>
      <c r="AM41" s="19"/>
      <c r="AO41" s="20"/>
      <c r="AP41" s="20"/>
      <c r="AQ41" s="20"/>
      <c r="AR41" s="20"/>
      <c r="AS41" s="218"/>
      <c r="AT41" s="218"/>
      <c r="AU41" s="218"/>
      <c r="AV41" s="218"/>
      <c r="AW41" s="218"/>
      <c r="AX41" s="218"/>
      <c r="AY41" s="218"/>
      <c r="AZ41" s="218"/>
      <c r="BA41" s="218"/>
      <c r="BB41" s="218"/>
      <c r="BC41" s="218"/>
      <c r="BD41" s="218"/>
      <c r="BE41" s="218"/>
      <c r="BF41" s="219"/>
    </row>
    <row r="42" spans="1:58" ht="20.149999999999999" customHeight="1">
      <c r="A42" s="18"/>
      <c r="F42" s="120"/>
      <c r="G42" s="120"/>
      <c r="H42" s="117">
        <v>-13</v>
      </c>
      <c r="I42" s="117">
        <v>-12</v>
      </c>
      <c r="J42" s="117">
        <v>-11</v>
      </c>
      <c r="K42" s="117">
        <v>-10</v>
      </c>
      <c r="L42" s="117">
        <v>-9</v>
      </c>
      <c r="M42" s="117">
        <v>-8</v>
      </c>
      <c r="N42" s="117">
        <v>-7</v>
      </c>
      <c r="O42" s="117">
        <v>-6</v>
      </c>
      <c r="P42" s="117">
        <v>-5</v>
      </c>
      <c r="Q42" s="117">
        <v>-4</v>
      </c>
      <c r="R42" s="117">
        <v>-3</v>
      </c>
      <c r="S42" s="118">
        <v>2</v>
      </c>
      <c r="T42" s="118">
        <v>1</v>
      </c>
      <c r="U42" s="118">
        <v>0</v>
      </c>
      <c r="V42" s="118">
        <v>1</v>
      </c>
      <c r="W42" s="118">
        <v>2</v>
      </c>
      <c r="X42" s="118">
        <v>3</v>
      </c>
      <c r="Y42" s="118">
        <v>4</v>
      </c>
      <c r="Z42" s="118">
        <v>5</v>
      </c>
      <c r="AA42" s="118">
        <v>6</v>
      </c>
      <c r="AB42" s="118">
        <v>7</v>
      </c>
      <c r="AC42" s="118">
        <v>8</v>
      </c>
      <c r="AD42" s="118">
        <v>9</v>
      </c>
      <c r="AE42" s="117">
        <v>10</v>
      </c>
      <c r="AF42" s="117">
        <v>11</v>
      </c>
      <c r="AG42" s="117">
        <v>12</v>
      </c>
      <c r="AH42" s="117">
        <v>13</v>
      </c>
      <c r="AI42" s="119"/>
      <c r="AJ42" s="117"/>
      <c r="AK42" s="19"/>
      <c r="AL42" s="19"/>
      <c r="AM42" s="19"/>
      <c r="AO42" s="27"/>
      <c r="AP42" s="27"/>
      <c r="AQ42" s="27"/>
      <c r="AR42" s="27"/>
      <c r="AS42" s="239" t="s">
        <v>145</v>
      </c>
      <c r="AT42" s="240"/>
      <c r="AU42" s="240"/>
      <c r="AV42" s="240"/>
      <c r="AW42" s="240"/>
      <c r="AX42" s="240"/>
      <c r="AY42" s="241"/>
      <c r="AZ42" s="218">
        <v>1200</v>
      </c>
      <c r="BA42" s="218"/>
      <c r="BB42" s="218"/>
      <c r="BC42" s="218"/>
      <c r="BD42" s="218"/>
      <c r="BE42" s="218"/>
      <c r="BF42" s="219"/>
    </row>
    <row r="43" spans="1:58" ht="20.149999999999999" customHeight="1">
      <c r="A43" s="41"/>
      <c r="B43" s="29"/>
      <c r="C43" s="29"/>
      <c r="D43" s="29"/>
      <c r="E43" s="29"/>
      <c r="F43" s="42"/>
      <c r="G43" s="42"/>
      <c r="H43" s="7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28"/>
      <c r="AL43" s="28"/>
      <c r="AM43" s="28"/>
      <c r="AN43" s="29"/>
      <c r="AO43" s="30"/>
      <c r="AP43" s="30"/>
      <c r="AQ43" s="30"/>
      <c r="AR43" s="46"/>
      <c r="AS43" s="242" t="s">
        <v>146</v>
      </c>
      <c r="AT43" s="243"/>
      <c r="AU43" s="243"/>
      <c r="AV43" s="243"/>
      <c r="AW43" s="243"/>
      <c r="AX43" s="243"/>
      <c r="AY43" s="244"/>
      <c r="AZ43" s="218"/>
      <c r="BA43" s="218"/>
      <c r="BB43" s="218"/>
      <c r="BC43" s="218"/>
      <c r="BD43" s="218"/>
      <c r="BE43" s="218"/>
      <c r="BF43" s="219"/>
    </row>
    <row r="44" spans="1:58" ht="19.25" customHeight="1">
      <c r="A44" s="47" t="s">
        <v>33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9"/>
      <c r="M44" s="49"/>
      <c r="N44" s="50"/>
      <c r="O44" s="50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50"/>
      <c r="AB44" s="49"/>
      <c r="AC44" s="51"/>
      <c r="AD44" s="52" t="s">
        <v>60</v>
      </c>
      <c r="AE44" s="53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37"/>
      <c r="AQ44" s="52"/>
      <c r="AR44" s="52"/>
      <c r="AS44" s="52"/>
      <c r="AT44" s="52"/>
      <c r="AU44" s="52"/>
      <c r="AV44" s="52"/>
      <c r="AW44" s="50"/>
      <c r="AX44" s="52"/>
      <c r="AY44" s="54"/>
      <c r="AZ44" s="32"/>
      <c r="BB44" s="22"/>
      <c r="BC44" s="55"/>
      <c r="BD44" s="55"/>
      <c r="BE44" s="55"/>
      <c r="BF44" s="56"/>
    </row>
    <row r="45" spans="1:58" ht="19.25" customHeight="1">
      <c r="A45" s="57" t="s">
        <v>59</v>
      </c>
      <c r="B45" s="50"/>
      <c r="C45" s="49"/>
      <c r="D45" s="198" t="str">
        <f>I3</f>
        <v>11A 809 605</v>
      </c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7" t="s">
        <v>139</v>
      </c>
      <c r="P45" s="197"/>
      <c r="Q45" s="197"/>
      <c r="R45" s="197"/>
      <c r="S45" s="197"/>
      <c r="T45" s="197"/>
      <c r="U45" s="197"/>
      <c r="V45" s="58"/>
      <c r="W45" s="58"/>
      <c r="X45" s="58"/>
      <c r="Y45" s="58"/>
      <c r="Z45" s="58"/>
      <c r="AA45" s="58"/>
      <c r="AB45" s="58"/>
      <c r="AC45" s="59"/>
      <c r="AD45" s="210" t="s">
        <v>251</v>
      </c>
      <c r="AE45" s="211"/>
      <c r="AF45" s="211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1"/>
      <c r="AR45" s="22"/>
      <c r="AS45" s="22"/>
      <c r="AT45" s="20"/>
      <c r="AU45" s="22"/>
      <c r="AV45" s="22"/>
      <c r="AW45" s="50"/>
      <c r="AX45" s="22"/>
      <c r="AY45" s="50"/>
      <c r="BB45" s="22"/>
      <c r="BC45" s="55"/>
      <c r="BD45" s="55"/>
      <c r="BE45" s="55"/>
      <c r="BF45" s="56"/>
    </row>
    <row r="46" spans="1:58" ht="19.25" customHeight="1">
      <c r="A46" s="60" t="s">
        <v>58</v>
      </c>
      <c r="B46" s="50"/>
      <c r="C46" s="61"/>
      <c r="D46" s="197" t="str">
        <f>I3</f>
        <v>11A 809 605</v>
      </c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 t="s">
        <v>140</v>
      </c>
      <c r="P46" s="197"/>
      <c r="Q46" s="197"/>
      <c r="R46" s="197"/>
      <c r="S46" s="197"/>
      <c r="T46" s="197"/>
      <c r="U46" s="197"/>
      <c r="V46" s="58"/>
      <c r="W46" s="58"/>
      <c r="X46" s="58"/>
      <c r="Y46" s="58"/>
      <c r="Z46" s="58"/>
      <c r="AA46" s="58"/>
      <c r="AB46" s="58"/>
      <c r="AC46" s="59"/>
      <c r="AD46" s="210"/>
      <c r="AE46" s="211"/>
      <c r="AF46" s="211"/>
      <c r="AG46" s="211"/>
      <c r="AH46" s="211"/>
      <c r="AI46" s="211"/>
      <c r="AJ46" s="211"/>
      <c r="AK46" s="211"/>
      <c r="AL46" s="211"/>
      <c r="AM46" s="211"/>
      <c r="AN46" s="211"/>
      <c r="AO46" s="211"/>
      <c r="AP46" s="211"/>
      <c r="AQ46" s="211"/>
      <c r="AR46" s="22"/>
      <c r="AS46" s="22"/>
      <c r="AT46" s="20"/>
      <c r="AU46" s="22"/>
      <c r="AV46" s="22"/>
      <c r="AW46" s="50"/>
      <c r="AX46" s="22"/>
      <c r="AY46" s="50"/>
      <c r="BB46" s="22"/>
      <c r="BC46" s="55"/>
      <c r="BD46" s="55"/>
      <c r="BE46" s="55"/>
      <c r="BF46" s="56"/>
    </row>
    <row r="47" spans="1:58" ht="19.25" customHeight="1">
      <c r="A47" s="60"/>
      <c r="B47" s="50"/>
      <c r="C47" s="61"/>
      <c r="D47" s="61"/>
      <c r="E47" s="61"/>
      <c r="F47" s="61"/>
      <c r="G47" s="61"/>
      <c r="H47" s="61"/>
      <c r="I47" s="50"/>
      <c r="J47" s="61"/>
      <c r="K47" s="61"/>
      <c r="L47" s="50"/>
      <c r="M47" s="61"/>
      <c r="N47" s="50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62"/>
      <c r="AD47" s="78"/>
      <c r="AE47" s="22"/>
      <c r="AF47" s="22"/>
      <c r="AG47" s="22"/>
      <c r="AH47" s="22"/>
      <c r="AI47" s="22"/>
      <c r="AJ47" s="20"/>
      <c r="AK47" s="22"/>
      <c r="AL47" s="22"/>
      <c r="AM47" s="22"/>
      <c r="AN47" s="22"/>
      <c r="AO47" s="22"/>
      <c r="AP47" s="22"/>
      <c r="AQ47" s="22"/>
      <c r="AR47" s="22"/>
      <c r="AS47" s="22"/>
      <c r="AT47" s="20"/>
      <c r="AU47" s="22"/>
      <c r="AV47" s="22"/>
      <c r="AW47" s="50"/>
      <c r="AX47" s="22"/>
      <c r="AY47" s="50"/>
      <c r="BB47" s="22"/>
      <c r="BC47" s="55"/>
      <c r="BD47" s="55"/>
      <c r="BE47" s="55"/>
      <c r="BF47" s="56"/>
    </row>
    <row r="48" spans="1:58" ht="19.25" customHeight="1">
      <c r="A48" s="47" t="s">
        <v>26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54"/>
      <c r="AB48" s="48"/>
      <c r="AC48" s="64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50"/>
      <c r="AT48" s="49"/>
      <c r="AU48" s="49"/>
      <c r="AV48" s="49"/>
      <c r="AW48" s="49"/>
      <c r="AX48" s="49"/>
      <c r="AY48" s="49"/>
      <c r="AZ48" s="55"/>
      <c r="BA48" s="55"/>
      <c r="BB48" s="55"/>
      <c r="BC48" s="55"/>
      <c r="BD48" s="55"/>
      <c r="BE48" s="55"/>
      <c r="BF48" s="56"/>
    </row>
    <row r="49" spans="1:58" ht="19.25" customHeight="1">
      <c r="A49" s="212" t="s">
        <v>261</v>
      </c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  <c r="AC49" s="214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50"/>
      <c r="AT49" s="49"/>
      <c r="AU49" s="49"/>
      <c r="AV49" s="49"/>
      <c r="AW49" s="49"/>
      <c r="AX49" s="49"/>
      <c r="AY49" s="49"/>
      <c r="AZ49" s="55"/>
      <c r="BA49" s="55"/>
      <c r="BB49" s="55"/>
      <c r="BC49" s="55"/>
      <c r="BD49" s="55"/>
      <c r="BE49" s="55"/>
      <c r="BF49" s="56"/>
    </row>
    <row r="50" spans="1:58" ht="19.25" customHeight="1">
      <c r="A50" s="215" t="s">
        <v>258</v>
      </c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6"/>
      <c r="AD50" s="50"/>
      <c r="AE50" s="50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50"/>
      <c r="AU50" s="50"/>
      <c r="AV50" s="50"/>
      <c r="AW50" s="50"/>
      <c r="AX50" s="50"/>
      <c r="AY50" s="50"/>
      <c r="BB50" s="55"/>
      <c r="BC50" s="55"/>
      <c r="BD50" s="55"/>
      <c r="BE50" s="55"/>
      <c r="BF50" s="56"/>
    </row>
    <row r="51" spans="1:58" ht="19.25" customHeight="1">
      <c r="A51" s="60"/>
      <c r="B51" s="27"/>
      <c r="C51" s="22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65"/>
      <c r="AD51" s="50"/>
      <c r="AE51" s="50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50"/>
      <c r="AU51" s="50"/>
      <c r="AV51" s="50"/>
      <c r="AW51" s="50"/>
      <c r="AX51" s="50"/>
      <c r="AY51" s="50"/>
      <c r="BB51" s="55"/>
      <c r="BC51" s="55"/>
      <c r="BD51" s="55"/>
      <c r="BE51" s="55"/>
      <c r="BF51" s="56"/>
    </row>
    <row r="52" spans="1:58" ht="19.25" customHeight="1">
      <c r="A52" s="66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65"/>
      <c r="AD52" s="218" t="s">
        <v>27</v>
      </c>
      <c r="AE52" s="218"/>
      <c r="AF52" s="218"/>
      <c r="AG52" s="218"/>
      <c r="AH52" s="218"/>
      <c r="AI52" s="218"/>
      <c r="AJ52" s="218"/>
      <c r="AK52" s="218"/>
      <c r="AL52" s="218" t="s">
        <v>270</v>
      </c>
      <c r="AM52" s="218"/>
      <c r="AN52" s="218"/>
      <c r="AO52" s="218"/>
      <c r="AP52" s="218"/>
      <c r="AQ52" s="218"/>
      <c r="AR52" s="218"/>
      <c r="AS52" s="218" t="s">
        <v>28</v>
      </c>
      <c r="AT52" s="218"/>
      <c r="AU52" s="218"/>
      <c r="AV52" s="218"/>
      <c r="AW52" s="218"/>
      <c r="AX52" s="218"/>
      <c r="AY52" s="218"/>
      <c r="AZ52" s="231" t="s">
        <v>276</v>
      </c>
      <c r="BA52" s="232"/>
      <c r="BB52" s="232"/>
      <c r="BC52" s="232"/>
      <c r="BD52" s="232"/>
      <c r="BE52" s="232" t="s">
        <v>55</v>
      </c>
      <c r="BF52" s="235"/>
    </row>
    <row r="53" spans="1:58" ht="19.25" customHeight="1">
      <c r="A53" s="67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6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8"/>
      <c r="AY53" s="218"/>
      <c r="AZ53" s="233"/>
      <c r="BA53" s="234"/>
      <c r="BB53" s="234"/>
      <c r="BC53" s="234"/>
      <c r="BD53" s="234"/>
      <c r="BE53" s="234"/>
      <c r="BF53" s="236"/>
    </row>
    <row r="54" spans="1:58" s="20" customFormat="1" ht="27" customHeight="1" thickBot="1">
      <c r="A54" s="11"/>
      <c r="B54" s="12" t="s">
        <v>29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2" t="s">
        <v>53</v>
      </c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2" t="s">
        <v>31</v>
      </c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4"/>
      <c r="BA54" s="14"/>
      <c r="BB54" s="14"/>
      <c r="BC54" s="14"/>
      <c r="BD54" s="13"/>
      <c r="BE54" s="13"/>
      <c r="BF54" s="15"/>
    </row>
    <row r="55" spans="1:58">
      <c r="A55" s="1" t="s">
        <v>264</v>
      </c>
    </row>
  </sheetData>
  <protectedRanges>
    <protectedRange sqref="AZ1:BF3 I3 W3 AL3 I9:I10 AS5:BC9 AZ40 AZ42 AL52 AZ52 AD44:BF51 AX12 BA29" name="区域1"/>
    <protectedRange sqref="AS10" name="区域3"/>
    <protectedRange sqref="I7:I8" name="区域1_1"/>
    <protectedRange sqref="I5:AC6" name="区域1_2"/>
    <protectedRange sqref="H12:AH26" name="区域1_5"/>
  </protectedRanges>
  <mergeCells count="100">
    <mergeCell ref="AZ1:BF1"/>
    <mergeCell ref="AS2:AY2"/>
    <mergeCell ref="AZ2:BF2"/>
    <mergeCell ref="P3:V3"/>
    <mergeCell ref="W3:AC3"/>
    <mergeCell ref="AD3:AK3"/>
    <mergeCell ref="A1:AR2"/>
    <mergeCell ref="AS1:AY1"/>
    <mergeCell ref="A6:H6"/>
    <mergeCell ref="AD6:AR6"/>
    <mergeCell ref="AS6:BC6"/>
    <mergeCell ref="BD6:BF6"/>
    <mergeCell ref="AL3:AR3"/>
    <mergeCell ref="AS3:AY3"/>
    <mergeCell ref="AZ3:BF3"/>
    <mergeCell ref="A4:BF4"/>
    <mergeCell ref="A5:H5"/>
    <mergeCell ref="AD5:AR5"/>
    <mergeCell ref="AS5:BC5"/>
    <mergeCell ref="BD5:BF5"/>
    <mergeCell ref="I5:AC5"/>
    <mergeCell ref="I6:AC6"/>
    <mergeCell ref="A3:H3"/>
    <mergeCell ref="I3:O3"/>
    <mergeCell ref="BD8:BF8"/>
    <mergeCell ref="A7:H7"/>
    <mergeCell ref="I7:AA7"/>
    <mergeCell ref="AB7:AC7"/>
    <mergeCell ref="AD7:AR7"/>
    <mergeCell ref="AS7:BC7"/>
    <mergeCell ref="BD7:BF7"/>
    <mergeCell ref="A8:H8"/>
    <mergeCell ref="I8:AA8"/>
    <mergeCell ref="AB8:AC8"/>
    <mergeCell ref="AD8:AR8"/>
    <mergeCell ref="AS8:BC8"/>
    <mergeCell ref="BD9:BF9"/>
    <mergeCell ref="A10:H10"/>
    <mergeCell ref="I10:R10"/>
    <mergeCell ref="S10:AA10"/>
    <mergeCell ref="AB10:AC10"/>
    <mergeCell ref="AD10:AR10"/>
    <mergeCell ref="AS10:BC10"/>
    <mergeCell ref="BD10:BF10"/>
    <mergeCell ref="A9:H9"/>
    <mergeCell ref="I9:R9"/>
    <mergeCell ref="S9:AA9"/>
    <mergeCell ref="AB9:AC9"/>
    <mergeCell ref="AD9:AR9"/>
    <mergeCell ref="AS9:BC9"/>
    <mergeCell ref="AM16:AM18"/>
    <mergeCell ref="AM19:AM23"/>
    <mergeCell ref="S11:T11"/>
    <mergeCell ref="V11:W11"/>
    <mergeCell ref="X11:Y11"/>
    <mergeCell ref="Z11:AA11"/>
    <mergeCell ref="AB11:AC11"/>
    <mergeCell ref="AD11:AE11"/>
    <mergeCell ref="O27:P27"/>
    <mergeCell ref="AF11:AG11"/>
    <mergeCell ref="AH11:AI11"/>
    <mergeCell ref="B13:C24"/>
    <mergeCell ref="G11:H11"/>
    <mergeCell ref="I11:J11"/>
    <mergeCell ref="K11:L11"/>
    <mergeCell ref="M11:N11"/>
    <mergeCell ref="O11:P11"/>
    <mergeCell ref="Q11:R11"/>
    <mergeCell ref="B31:C41"/>
    <mergeCell ref="AS40:AY41"/>
    <mergeCell ref="AZ40:BF41"/>
    <mergeCell ref="Q27:R27"/>
    <mergeCell ref="S27:T27"/>
    <mergeCell ref="V27:W27"/>
    <mergeCell ref="X27:Y27"/>
    <mergeCell ref="Z27:AA27"/>
    <mergeCell ref="AB27:AC27"/>
    <mergeCell ref="AD27:AE27"/>
    <mergeCell ref="AF27:AG27"/>
    <mergeCell ref="AH27:AI27"/>
    <mergeCell ref="G27:H27"/>
    <mergeCell ref="I27:J27"/>
    <mergeCell ref="K27:L27"/>
    <mergeCell ref="M27:N27"/>
    <mergeCell ref="AS42:AY42"/>
    <mergeCell ref="AZ42:BF43"/>
    <mergeCell ref="AS43:AY43"/>
    <mergeCell ref="D45:N45"/>
    <mergeCell ref="O45:U45"/>
    <mergeCell ref="AD45:AQ45"/>
    <mergeCell ref="AS52:AY53"/>
    <mergeCell ref="AZ52:BD53"/>
    <mergeCell ref="BE52:BF53"/>
    <mergeCell ref="D46:N46"/>
    <mergeCell ref="O46:U46"/>
    <mergeCell ref="AD46:AQ46"/>
    <mergeCell ref="A49:AC49"/>
    <mergeCell ref="A50:AC50"/>
    <mergeCell ref="AD52:AK53"/>
    <mergeCell ref="AL52:AR53"/>
  </mergeCells>
  <phoneticPr fontId="2" type="noConversion"/>
  <conditionalFormatting sqref="I7:AA8">
    <cfRule type="containsBlanks" dxfId="37" priority="67">
      <formula>LEN(TRIM(I7))=0</formula>
    </cfRule>
  </conditionalFormatting>
  <conditionalFormatting sqref="I5:AC5">
    <cfRule type="containsBlanks" dxfId="36" priority="49">
      <formula>LEN(TRIM(I5))=0</formula>
    </cfRule>
  </conditionalFormatting>
  <conditionalFormatting sqref="I6:AC6">
    <cfRule type="containsBlanks" dxfId="35" priority="50">
      <formula>LEN(TRIM(I6))=0</formula>
    </cfRule>
  </conditionalFormatting>
  <conditionalFormatting sqref="N18">
    <cfRule type="expression" dxfId="34" priority="16">
      <formula>AND($AZ$2&lt;&gt;"4-100")</formula>
    </cfRule>
  </conditionalFormatting>
  <conditionalFormatting sqref="N19">
    <cfRule type="expression" dxfId="33" priority="13">
      <formula>AND($AZ$2&lt;&gt;"4-100")</formula>
    </cfRule>
  </conditionalFormatting>
  <conditionalFormatting sqref="N20">
    <cfRule type="expression" dxfId="32" priority="12">
      <formula>AND($AZ$2&lt;&gt;"4-100")</formula>
    </cfRule>
  </conditionalFormatting>
  <conditionalFormatting sqref="O18:R18">
    <cfRule type="expression" dxfId="31" priority="15">
      <formula>AND($AZ$2&lt;&gt;"4-100")</formula>
    </cfRule>
  </conditionalFormatting>
  <conditionalFormatting sqref="O20:R20">
    <cfRule type="expression" dxfId="30" priority="11">
      <formula>AND($AZ$2&lt;&gt;"4-100")</formula>
    </cfRule>
  </conditionalFormatting>
  <conditionalFormatting sqref="S18">
    <cfRule type="expression" dxfId="29" priority="14">
      <formula>AND($AZ$2&lt;&gt;"4-100")</formula>
    </cfRule>
  </conditionalFormatting>
  <conditionalFormatting sqref="S19">
    <cfRule type="expression" dxfId="28" priority="9">
      <formula>AND($AZ$2&lt;&gt;"4-100")</formula>
    </cfRule>
  </conditionalFormatting>
  <conditionalFormatting sqref="S20">
    <cfRule type="expression" dxfId="27" priority="10">
      <formula>AND($AZ$2&lt;&gt;"4-100")</formula>
    </cfRule>
  </conditionalFormatting>
  <conditionalFormatting sqref="W18">
    <cfRule type="expression" dxfId="26" priority="8">
      <formula>AND($AZ$2&lt;&gt;"4-100")</formula>
    </cfRule>
  </conditionalFormatting>
  <conditionalFormatting sqref="W19">
    <cfRule type="expression" dxfId="25" priority="5">
      <formula>AND($AZ$2&lt;&gt;"4-100")</formula>
    </cfRule>
  </conditionalFormatting>
  <conditionalFormatting sqref="W20">
    <cfRule type="expression" dxfId="24" priority="4">
      <formula>AND($AZ$2&lt;&gt;"4-100")</formula>
    </cfRule>
  </conditionalFormatting>
  <conditionalFormatting sqref="X18:AA18">
    <cfRule type="expression" dxfId="23" priority="7">
      <formula>AND($AZ$2&lt;&gt;"4-100")</formula>
    </cfRule>
  </conditionalFormatting>
  <conditionalFormatting sqref="X20:AA20">
    <cfRule type="expression" dxfId="22" priority="3">
      <formula>AND($AZ$2&lt;&gt;"4-100")</formula>
    </cfRule>
  </conditionalFormatting>
  <conditionalFormatting sqref="AB18">
    <cfRule type="expression" dxfId="21" priority="6">
      <formula>AND($AZ$2&lt;&gt;"4-100")</formula>
    </cfRule>
  </conditionalFormatting>
  <conditionalFormatting sqref="AB19">
    <cfRule type="expression" dxfId="20" priority="1">
      <formula>AND($AZ$2&lt;&gt;"4-100")</formula>
    </cfRule>
  </conditionalFormatting>
  <conditionalFormatting sqref="AB20">
    <cfRule type="expression" dxfId="19" priority="2">
      <formula>AND($AZ$2&lt;&gt;"4-100")</formula>
    </cfRule>
  </conditionalFormatting>
  <dataValidations count="9">
    <dataValidation type="list" allowBlank="1" showInputMessage="1" showErrorMessage="1" sqref="AZ2:BF2" xr:uid="{00000000-0002-0000-0300-000000000000}">
      <formula1>$BH$2:$BH$9</formula1>
    </dataValidation>
    <dataValidation type="list" allowBlank="1" showInputMessage="1" showErrorMessage="1" sqref="AS5:BC5" xr:uid="{00000000-0002-0000-0300-000001000000}">
      <formula1>$BJ$2:$BJ$3</formula1>
    </dataValidation>
    <dataValidation type="list" allowBlank="1" showInputMessage="1" showErrorMessage="1" sqref="AZ3:BF3" xr:uid="{00000000-0002-0000-0300-000002000000}">
      <formula1>$BK$2:$BK$7</formula1>
    </dataValidation>
    <dataValidation type="list" allowBlank="1" showInputMessage="1" showErrorMessage="1" sqref="O45:U46" xr:uid="{00000000-0002-0000-0300-000003000000}">
      <formula1>$BL$2:$BL$8</formula1>
    </dataValidation>
    <dataValidation type="list" allowBlank="1" showInputMessage="1" showErrorMessage="1" sqref="AS43:AY43" xr:uid="{00000000-0002-0000-0300-000004000000}">
      <formula1>$BM$2:$BM$4</formula1>
    </dataValidation>
    <dataValidation type="list" allowBlank="1" showInputMessage="1" showErrorMessage="1" sqref="AL52:AR53" xr:uid="{00000000-0002-0000-0300-000005000000}">
      <formula1>$BO$2:$BO$6</formula1>
    </dataValidation>
    <dataValidation type="list" allowBlank="1" showInputMessage="1" showErrorMessage="1" sqref="BD10:BF10" xr:uid="{00000000-0002-0000-0300-000006000000}">
      <formula1>$BP$2:$BP$3</formula1>
    </dataValidation>
    <dataValidation type="list" allowBlank="1" showInputMessage="1" showErrorMessage="1" sqref="F30:I42 O41:O42 J30:J31 Y41:Y42 AC39:AC42 L30:O31 Z39:Z42 J41:J42 S30:S31 T30:T42 AB38:AB42 U30:U31 L38:L42 M40:M42 Y30:AB31 AA40:AA42 AE30:AG42 AD30:AD31 K30:K32 P30:P42 Q30:R32 AC30:AC32 X30:X42 V30:W32 S33:S34 R34:R42 Q34 K39:K42 M33:O34 K34 U33:U34 V34:V42 W34 N39:N42 Y33:AA34 AC34 S41:S42 N36:O36 L33:L36 U41:U42 Y36:Z36 AB33:AB36 K36:K37 Q41:Q42 W41:W42 AC36:AC37 AD41:AD42 M36:M38 Q37:Q38 AA36:AA38 S36:S39 O38:O39 J33:J39 U36:U39 Y38:Y39 AD33:AD39 W37:W38" xr:uid="{00000000-0002-0000-0300-000007000000}">
      <formula1>$BS$2:$BS$4</formula1>
    </dataValidation>
    <dataValidation type="list" allowBlank="1" showInputMessage="1" showErrorMessage="1" sqref="I6:AC6" xr:uid="{00000000-0002-0000-0300-000008000000}">
      <formula1>$BN$2:$BN$13</formula1>
    </dataValidation>
  </dataValidations>
  <printOptions horizontalCentered="1" verticalCentered="1"/>
  <pageMargins left="0.35433070866141736" right="0.35433070866141736" top="0.43307086614173229" bottom="0.47244094488188981" header="0.31496062992125984" footer="0.27559055118110237"/>
  <pageSetup paperSize="9" scale="6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S55"/>
  <sheetViews>
    <sheetView view="pageBreakPreview" zoomScale="85" zoomScaleNormal="100" zoomScaleSheetLayoutView="85" workbookViewId="0">
      <selection activeCell="AT27" sqref="AT27"/>
    </sheetView>
  </sheetViews>
  <sheetFormatPr defaultRowHeight="16.5"/>
  <cols>
    <col min="1" max="58" width="2.6328125" style="16" customWidth="1"/>
    <col min="59" max="63" width="9" style="16"/>
    <col min="64" max="64" width="16.1796875" style="16" bestFit="1" customWidth="1"/>
    <col min="65" max="65" width="15" style="16" bestFit="1" customWidth="1"/>
    <col min="66" max="257" width="9" style="16"/>
    <col min="258" max="313" width="2.08984375" style="16" customWidth="1"/>
    <col min="314" max="513" width="9" style="16"/>
    <col min="514" max="569" width="2.08984375" style="16" customWidth="1"/>
    <col min="570" max="769" width="9" style="16"/>
    <col min="770" max="825" width="2.08984375" style="16" customWidth="1"/>
    <col min="826" max="1025" width="9" style="16"/>
    <col min="1026" max="1081" width="2.08984375" style="16" customWidth="1"/>
    <col min="1082" max="1281" width="9" style="16"/>
    <col min="1282" max="1337" width="2.08984375" style="16" customWidth="1"/>
    <col min="1338" max="1537" width="9" style="16"/>
    <col min="1538" max="1593" width="2.08984375" style="16" customWidth="1"/>
    <col min="1594" max="1793" width="9" style="16"/>
    <col min="1794" max="1849" width="2.08984375" style="16" customWidth="1"/>
    <col min="1850" max="2049" width="9" style="16"/>
    <col min="2050" max="2105" width="2.08984375" style="16" customWidth="1"/>
    <col min="2106" max="2305" width="9" style="16"/>
    <col min="2306" max="2361" width="2.08984375" style="16" customWidth="1"/>
    <col min="2362" max="2561" width="9" style="16"/>
    <col min="2562" max="2617" width="2.08984375" style="16" customWidth="1"/>
    <col min="2618" max="2817" width="9" style="16"/>
    <col min="2818" max="2873" width="2.08984375" style="16" customWidth="1"/>
    <col min="2874" max="3073" width="9" style="16"/>
    <col min="3074" max="3129" width="2.08984375" style="16" customWidth="1"/>
    <col min="3130" max="3329" width="9" style="16"/>
    <col min="3330" max="3385" width="2.08984375" style="16" customWidth="1"/>
    <col min="3386" max="3585" width="9" style="16"/>
    <col min="3586" max="3641" width="2.08984375" style="16" customWidth="1"/>
    <col min="3642" max="3841" width="9" style="16"/>
    <col min="3842" max="3897" width="2.08984375" style="16" customWidth="1"/>
    <col min="3898" max="4097" width="9" style="16"/>
    <col min="4098" max="4153" width="2.08984375" style="16" customWidth="1"/>
    <col min="4154" max="4353" width="9" style="16"/>
    <col min="4354" max="4409" width="2.08984375" style="16" customWidth="1"/>
    <col min="4410" max="4609" width="9" style="16"/>
    <col min="4610" max="4665" width="2.08984375" style="16" customWidth="1"/>
    <col min="4666" max="4865" width="9" style="16"/>
    <col min="4866" max="4921" width="2.08984375" style="16" customWidth="1"/>
    <col min="4922" max="5121" width="9" style="16"/>
    <col min="5122" max="5177" width="2.08984375" style="16" customWidth="1"/>
    <col min="5178" max="5377" width="9" style="16"/>
    <col min="5378" max="5433" width="2.08984375" style="16" customWidth="1"/>
    <col min="5434" max="5633" width="9" style="16"/>
    <col min="5634" max="5689" width="2.08984375" style="16" customWidth="1"/>
    <col min="5690" max="5889" width="9" style="16"/>
    <col min="5890" max="5945" width="2.08984375" style="16" customWidth="1"/>
    <col min="5946" max="6145" width="9" style="16"/>
    <col min="6146" max="6201" width="2.08984375" style="16" customWidth="1"/>
    <col min="6202" max="6401" width="9" style="16"/>
    <col min="6402" max="6457" width="2.08984375" style="16" customWidth="1"/>
    <col min="6458" max="6657" width="9" style="16"/>
    <col min="6658" max="6713" width="2.08984375" style="16" customWidth="1"/>
    <col min="6714" max="6913" width="9" style="16"/>
    <col min="6914" max="6969" width="2.08984375" style="16" customWidth="1"/>
    <col min="6970" max="7169" width="9" style="16"/>
    <col min="7170" max="7225" width="2.08984375" style="16" customWidth="1"/>
    <col min="7226" max="7425" width="9" style="16"/>
    <col min="7426" max="7481" width="2.08984375" style="16" customWidth="1"/>
    <col min="7482" max="7681" width="9" style="16"/>
    <col min="7682" max="7737" width="2.08984375" style="16" customWidth="1"/>
    <col min="7738" max="7937" width="9" style="16"/>
    <col min="7938" max="7993" width="2.08984375" style="16" customWidth="1"/>
    <col min="7994" max="8193" width="9" style="16"/>
    <col min="8194" max="8249" width="2.08984375" style="16" customWidth="1"/>
    <col min="8250" max="8449" width="9" style="16"/>
    <col min="8450" max="8505" width="2.08984375" style="16" customWidth="1"/>
    <col min="8506" max="8705" width="9" style="16"/>
    <col min="8706" max="8761" width="2.08984375" style="16" customWidth="1"/>
    <col min="8762" max="8961" width="9" style="16"/>
    <col min="8962" max="9017" width="2.08984375" style="16" customWidth="1"/>
    <col min="9018" max="9217" width="9" style="16"/>
    <col min="9218" max="9273" width="2.08984375" style="16" customWidth="1"/>
    <col min="9274" max="9473" width="9" style="16"/>
    <col min="9474" max="9529" width="2.08984375" style="16" customWidth="1"/>
    <col min="9530" max="9729" width="9" style="16"/>
    <col min="9730" max="9785" width="2.08984375" style="16" customWidth="1"/>
    <col min="9786" max="9985" width="9" style="16"/>
    <col min="9986" max="10041" width="2.08984375" style="16" customWidth="1"/>
    <col min="10042" max="10241" width="9" style="16"/>
    <col min="10242" max="10297" width="2.08984375" style="16" customWidth="1"/>
    <col min="10298" max="10497" width="9" style="16"/>
    <col min="10498" max="10553" width="2.08984375" style="16" customWidth="1"/>
    <col min="10554" max="10753" width="9" style="16"/>
    <col min="10754" max="10809" width="2.08984375" style="16" customWidth="1"/>
    <col min="10810" max="11009" width="9" style="16"/>
    <col min="11010" max="11065" width="2.08984375" style="16" customWidth="1"/>
    <col min="11066" max="11265" width="9" style="16"/>
    <col min="11266" max="11321" width="2.08984375" style="16" customWidth="1"/>
    <col min="11322" max="11521" width="9" style="16"/>
    <col min="11522" max="11577" width="2.08984375" style="16" customWidth="1"/>
    <col min="11578" max="11777" width="9" style="16"/>
    <col min="11778" max="11833" width="2.08984375" style="16" customWidth="1"/>
    <col min="11834" max="12033" width="9" style="16"/>
    <col min="12034" max="12089" width="2.08984375" style="16" customWidth="1"/>
    <col min="12090" max="12289" width="9" style="16"/>
    <col min="12290" max="12345" width="2.08984375" style="16" customWidth="1"/>
    <col min="12346" max="12545" width="9" style="16"/>
    <col min="12546" max="12601" width="2.08984375" style="16" customWidth="1"/>
    <col min="12602" max="12801" width="9" style="16"/>
    <col min="12802" max="12857" width="2.08984375" style="16" customWidth="1"/>
    <col min="12858" max="13057" width="9" style="16"/>
    <col min="13058" max="13113" width="2.08984375" style="16" customWidth="1"/>
    <col min="13114" max="13313" width="9" style="16"/>
    <col min="13314" max="13369" width="2.08984375" style="16" customWidth="1"/>
    <col min="13370" max="13569" width="9" style="16"/>
    <col min="13570" max="13625" width="2.08984375" style="16" customWidth="1"/>
    <col min="13626" max="13825" width="9" style="16"/>
    <col min="13826" max="13881" width="2.08984375" style="16" customWidth="1"/>
    <col min="13882" max="14081" width="9" style="16"/>
    <col min="14082" max="14137" width="2.08984375" style="16" customWidth="1"/>
    <col min="14138" max="14337" width="9" style="16"/>
    <col min="14338" max="14393" width="2.08984375" style="16" customWidth="1"/>
    <col min="14394" max="14593" width="9" style="16"/>
    <col min="14594" max="14649" width="2.08984375" style="16" customWidth="1"/>
    <col min="14650" max="14849" width="9" style="16"/>
    <col min="14850" max="14905" width="2.08984375" style="16" customWidth="1"/>
    <col min="14906" max="15105" width="9" style="16"/>
    <col min="15106" max="15161" width="2.08984375" style="16" customWidth="1"/>
    <col min="15162" max="15361" width="9" style="16"/>
    <col min="15362" max="15417" width="2.08984375" style="16" customWidth="1"/>
    <col min="15418" max="15617" width="9" style="16"/>
    <col min="15618" max="15673" width="2.08984375" style="16" customWidth="1"/>
    <col min="15674" max="15873" width="9" style="16"/>
    <col min="15874" max="15929" width="2.08984375" style="16" customWidth="1"/>
    <col min="15930" max="16129" width="9" style="16"/>
    <col min="16130" max="16185" width="2.08984375" style="16" customWidth="1"/>
    <col min="16186" max="16383" width="9" style="16"/>
    <col min="16384" max="16384" width="8.90625" style="16" customWidth="1"/>
  </cols>
  <sheetData>
    <row r="1" spans="1:71" ht="27" customHeight="1">
      <c r="A1" s="131" t="s">
        <v>262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3"/>
      <c r="AS1" s="137" t="s">
        <v>0</v>
      </c>
      <c r="AT1" s="138"/>
      <c r="AU1" s="138"/>
      <c r="AV1" s="138"/>
      <c r="AW1" s="138"/>
      <c r="AX1" s="138"/>
      <c r="AY1" s="138"/>
      <c r="AZ1" s="143">
        <v>1.1000000000000001</v>
      </c>
      <c r="BA1" s="144"/>
      <c r="BB1" s="144"/>
      <c r="BC1" s="144"/>
      <c r="BD1" s="144"/>
      <c r="BE1" s="144"/>
      <c r="BF1" s="145"/>
    </row>
    <row r="2" spans="1:71" ht="27" customHeight="1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6"/>
      <c r="AS2" s="127" t="s">
        <v>85</v>
      </c>
      <c r="AT2" s="123"/>
      <c r="AU2" s="123"/>
      <c r="AV2" s="123"/>
      <c r="AW2" s="123"/>
      <c r="AX2" s="123"/>
      <c r="AY2" s="123"/>
      <c r="AZ2" s="146" t="s">
        <v>303</v>
      </c>
      <c r="BA2" s="147"/>
      <c r="BB2" s="147"/>
      <c r="BC2" s="147"/>
      <c r="BD2" s="147"/>
      <c r="BE2" s="147"/>
      <c r="BF2" s="148"/>
      <c r="BH2" s="16" t="s">
        <v>304</v>
      </c>
      <c r="BI2" s="88" t="s">
        <v>111</v>
      </c>
      <c r="BJ2" s="16" t="s">
        <v>125</v>
      </c>
      <c r="BK2" s="16" t="s">
        <v>127</v>
      </c>
      <c r="BL2" s="16" t="s">
        <v>138</v>
      </c>
      <c r="BM2" s="16" t="s">
        <v>146</v>
      </c>
      <c r="BN2" s="89" t="s">
        <v>201</v>
      </c>
      <c r="BO2" s="89" t="s">
        <v>211</v>
      </c>
      <c r="BP2" s="16" t="s">
        <v>217</v>
      </c>
      <c r="BQ2" s="16" t="s">
        <v>225</v>
      </c>
      <c r="BR2" s="16" t="s">
        <v>32</v>
      </c>
      <c r="BS2" s="16" t="s">
        <v>121</v>
      </c>
    </row>
    <row r="3" spans="1:71" s="1" customFormat="1" ht="27" customHeight="1">
      <c r="A3" s="141" t="s">
        <v>1</v>
      </c>
      <c r="B3" s="123"/>
      <c r="C3" s="123"/>
      <c r="D3" s="123"/>
      <c r="E3" s="123"/>
      <c r="F3" s="123"/>
      <c r="G3" s="123"/>
      <c r="H3" s="123"/>
      <c r="I3" s="123" t="str">
        <f>'（单动-高速压机OP20）'!I3:O3</f>
        <v>11A 809 605</v>
      </c>
      <c r="J3" s="123"/>
      <c r="K3" s="123"/>
      <c r="L3" s="123"/>
      <c r="M3" s="123"/>
      <c r="N3" s="123"/>
      <c r="O3" s="123"/>
      <c r="P3" s="123" t="s">
        <v>2</v>
      </c>
      <c r="Q3" s="123"/>
      <c r="R3" s="123"/>
      <c r="S3" s="123"/>
      <c r="T3" s="123"/>
      <c r="U3" s="123"/>
      <c r="V3" s="123"/>
      <c r="W3" s="123" t="str">
        <f>'（单动-高速压机OP20）'!W3:AC3</f>
        <v>左侧围外板</v>
      </c>
      <c r="X3" s="123"/>
      <c r="Y3" s="123"/>
      <c r="Z3" s="123"/>
      <c r="AA3" s="123"/>
      <c r="AB3" s="123"/>
      <c r="AC3" s="123"/>
      <c r="AD3" s="123" t="s">
        <v>84</v>
      </c>
      <c r="AE3" s="123"/>
      <c r="AF3" s="123"/>
      <c r="AG3" s="123"/>
      <c r="AH3" s="123"/>
      <c r="AI3" s="123"/>
      <c r="AJ3" s="123"/>
      <c r="AK3" s="123"/>
      <c r="AL3" s="130" t="str">
        <f>'（单动-高速压机OP20）'!AL3:AR3</f>
        <v>A SUVe</v>
      </c>
      <c r="AM3" s="126"/>
      <c r="AN3" s="126"/>
      <c r="AO3" s="126"/>
      <c r="AP3" s="126"/>
      <c r="AQ3" s="126"/>
      <c r="AR3" s="127"/>
      <c r="AS3" s="123" t="s">
        <v>3</v>
      </c>
      <c r="AT3" s="123"/>
      <c r="AU3" s="123"/>
      <c r="AV3" s="123"/>
      <c r="AW3" s="123"/>
      <c r="AX3" s="123"/>
      <c r="AY3" s="123"/>
      <c r="AZ3" s="123" t="s">
        <v>249</v>
      </c>
      <c r="BA3" s="123"/>
      <c r="BB3" s="123"/>
      <c r="BC3" s="123"/>
      <c r="BD3" s="123"/>
      <c r="BE3" s="123"/>
      <c r="BF3" s="124"/>
      <c r="BH3" s="1" t="s">
        <v>87</v>
      </c>
      <c r="BI3" s="88" t="s">
        <v>233</v>
      </c>
      <c r="BJ3" s="1" t="s">
        <v>126</v>
      </c>
      <c r="BK3" s="16" t="s">
        <v>128</v>
      </c>
      <c r="BL3" s="1" t="s">
        <v>137</v>
      </c>
      <c r="BM3" s="1" t="s">
        <v>147</v>
      </c>
      <c r="BN3" s="89" t="s">
        <v>202</v>
      </c>
      <c r="BO3" s="89" t="s">
        <v>212</v>
      </c>
      <c r="BP3" s="1" t="s">
        <v>218</v>
      </c>
      <c r="BQ3" s="16" t="s">
        <v>223</v>
      </c>
      <c r="BR3" s="16" t="s">
        <v>32</v>
      </c>
      <c r="BS3" s="16" t="s">
        <v>121</v>
      </c>
    </row>
    <row r="4" spans="1:71" ht="27" customHeight="1">
      <c r="A4" s="150" t="s">
        <v>83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7"/>
      <c r="BH4" s="16" t="s">
        <v>220</v>
      </c>
      <c r="BI4" s="92" t="s">
        <v>234</v>
      </c>
      <c r="BK4" s="16" t="s">
        <v>129</v>
      </c>
      <c r="BL4" s="16" t="s">
        <v>136</v>
      </c>
      <c r="BN4" s="89" t="s">
        <v>203</v>
      </c>
      <c r="BO4" s="89" t="s">
        <v>213</v>
      </c>
      <c r="BQ4" s="16" t="s">
        <v>224</v>
      </c>
      <c r="BR4" s="16" t="s">
        <v>32</v>
      </c>
      <c r="BS4" s="16" t="s">
        <v>121</v>
      </c>
    </row>
    <row r="5" spans="1:71" ht="27" customHeight="1">
      <c r="A5" s="150" t="s">
        <v>82</v>
      </c>
      <c r="B5" s="151"/>
      <c r="C5" s="151"/>
      <c r="D5" s="151"/>
      <c r="E5" s="151"/>
      <c r="F5" s="151"/>
      <c r="G5" s="151"/>
      <c r="H5" s="152"/>
      <c r="I5" s="247" t="s">
        <v>292</v>
      </c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9"/>
      <c r="AD5" s="158" t="s">
        <v>81</v>
      </c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60"/>
      <c r="AS5" s="167" t="s">
        <v>7</v>
      </c>
      <c r="AT5" s="165"/>
      <c r="AU5" s="165"/>
      <c r="AV5" s="165"/>
      <c r="AW5" s="165"/>
      <c r="AX5" s="165"/>
      <c r="AY5" s="165"/>
      <c r="AZ5" s="165"/>
      <c r="BA5" s="165"/>
      <c r="BB5" s="165"/>
      <c r="BC5" s="165"/>
      <c r="BD5" s="165"/>
      <c r="BE5" s="165"/>
      <c r="BF5" s="166"/>
      <c r="BH5" s="16" t="s">
        <v>221</v>
      </c>
      <c r="BI5" s="92"/>
      <c r="BK5" s="16" t="s">
        <v>130</v>
      </c>
      <c r="BL5" s="1" t="s">
        <v>139</v>
      </c>
      <c r="BN5" s="89" t="s">
        <v>204</v>
      </c>
      <c r="BO5" s="89" t="s">
        <v>214</v>
      </c>
      <c r="BQ5" s="16" t="s">
        <v>220</v>
      </c>
      <c r="BR5" s="16" t="s">
        <v>32</v>
      </c>
      <c r="BS5" s="16" t="s">
        <v>121</v>
      </c>
    </row>
    <row r="6" spans="1:71" ht="27" customHeight="1">
      <c r="A6" s="150" t="s">
        <v>80</v>
      </c>
      <c r="B6" s="151"/>
      <c r="C6" s="151"/>
      <c r="D6" s="151"/>
      <c r="E6" s="151"/>
      <c r="F6" s="151"/>
      <c r="G6" s="151"/>
      <c r="H6" s="152"/>
      <c r="I6" s="247" t="s">
        <v>298</v>
      </c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9"/>
      <c r="AD6" s="167" t="s">
        <v>79</v>
      </c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8"/>
      <c r="AS6" s="167">
        <v>12</v>
      </c>
      <c r="AT6" s="165"/>
      <c r="AU6" s="165"/>
      <c r="AV6" s="165"/>
      <c r="AW6" s="165"/>
      <c r="AX6" s="165"/>
      <c r="AY6" s="165"/>
      <c r="AZ6" s="165"/>
      <c r="BA6" s="165"/>
      <c r="BB6" s="165"/>
      <c r="BC6" s="165"/>
      <c r="BD6" s="165" t="s">
        <v>124</v>
      </c>
      <c r="BE6" s="165"/>
      <c r="BF6" s="166"/>
      <c r="BH6" s="16" t="s">
        <v>222</v>
      </c>
      <c r="BK6" s="16" t="s">
        <v>131</v>
      </c>
      <c r="BL6" s="16" t="s">
        <v>140</v>
      </c>
      <c r="BN6" s="89" t="s">
        <v>205</v>
      </c>
      <c r="BO6" s="89" t="s">
        <v>103</v>
      </c>
      <c r="BQ6" s="16" t="s">
        <v>221</v>
      </c>
      <c r="BR6" s="16" t="s">
        <v>32</v>
      </c>
      <c r="BS6" s="16" t="s">
        <v>121</v>
      </c>
    </row>
    <row r="7" spans="1:71" ht="27" customHeight="1">
      <c r="A7" s="150" t="s">
        <v>10</v>
      </c>
      <c r="B7" s="151"/>
      <c r="C7" s="151"/>
      <c r="D7" s="151"/>
      <c r="E7" s="151"/>
      <c r="F7" s="151"/>
      <c r="G7" s="151"/>
      <c r="H7" s="152"/>
      <c r="I7" s="245">
        <v>36.4</v>
      </c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126" t="s">
        <v>11</v>
      </c>
      <c r="AC7" s="127"/>
      <c r="AD7" s="167" t="s">
        <v>77</v>
      </c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8"/>
      <c r="AS7" s="167">
        <v>4</v>
      </c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 t="s">
        <v>123</v>
      </c>
      <c r="BE7" s="165"/>
      <c r="BF7" s="166"/>
      <c r="BH7" s="16" t="s">
        <v>223</v>
      </c>
      <c r="BK7" s="16" t="s">
        <v>132</v>
      </c>
      <c r="BL7" s="1" t="s">
        <v>141</v>
      </c>
      <c r="BN7" s="89" t="s">
        <v>206</v>
      </c>
      <c r="BQ7" s="16" t="s">
        <v>222</v>
      </c>
      <c r="BR7" s="16" t="s">
        <v>32</v>
      </c>
      <c r="BS7" s="16" t="s">
        <v>121</v>
      </c>
    </row>
    <row r="8" spans="1:71" ht="27" customHeight="1">
      <c r="A8" s="202" t="s">
        <v>76</v>
      </c>
      <c r="B8" s="203"/>
      <c r="C8" s="203"/>
      <c r="D8" s="203"/>
      <c r="E8" s="203"/>
      <c r="F8" s="203"/>
      <c r="G8" s="203"/>
      <c r="H8" s="203"/>
      <c r="I8" s="245">
        <v>16.600000000000001</v>
      </c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126" t="s">
        <v>11</v>
      </c>
      <c r="AC8" s="127"/>
      <c r="AD8" s="167" t="s">
        <v>75</v>
      </c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8"/>
      <c r="AS8" s="167">
        <v>8</v>
      </c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 t="s">
        <v>122</v>
      </c>
      <c r="BE8" s="165"/>
      <c r="BF8" s="166"/>
      <c r="BH8" s="16" t="s">
        <v>224</v>
      </c>
      <c r="BL8" s="16" t="s">
        <v>142</v>
      </c>
      <c r="BN8" s="89" t="s">
        <v>299</v>
      </c>
      <c r="BQ8" s="16" t="s">
        <v>293</v>
      </c>
      <c r="BR8" s="16" t="s">
        <v>32</v>
      </c>
      <c r="BS8" s="16" t="s">
        <v>121</v>
      </c>
    </row>
    <row r="9" spans="1:71" ht="27" customHeight="1">
      <c r="A9" s="204" t="s">
        <v>14</v>
      </c>
      <c r="B9" s="205"/>
      <c r="C9" s="205"/>
      <c r="D9" s="205"/>
      <c r="E9" s="205"/>
      <c r="F9" s="205"/>
      <c r="G9" s="205"/>
      <c r="H9" s="206"/>
      <c r="I9" s="200">
        <v>1277</v>
      </c>
      <c r="J9" s="201"/>
      <c r="K9" s="201"/>
      <c r="L9" s="201"/>
      <c r="M9" s="201"/>
      <c r="N9" s="201"/>
      <c r="O9" s="201"/>
      <c r="P9" s="201"/>
      <c r="Q9" s="201"/>
      <c r="R9" s="201"/>
      <c r="S9" s="199" t="s">
        <v>281</v>
      </c>
      <c r="T9" s="199"/>
      <c r="U9" s="199"/>
      <c r="V9" s="199"/>
      <c r="W9" s="199"/>
      <c r="X9" s="199"/>
      <c r="Y9" s="199"/>
      <c r="Z9" s="199"/>
      <c r="AA9" s="199"/>
      <c r="AB9" s="126" t="s">
        <v>115</v>
      </c>
      <c r="AC9" s="127"/>
      <c r="AD9" s="167" t="s">
        <v>34</v>
      </c>
      <c r="AE9" s="165"/>
      <c r="AF9" s="165" t="s">
        <v>56</v>
      </c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8"/>
      <c r="AS9" s="167">
        <v>1200</v>
      </c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 t="s">
        <v>72</v>
      </c>
      <c r="BE9" s="165"/>
      <c r="BF9" s="166"/>
      <c r="BH9" s="16" t="s">
        <v>225</v>
      </c>
      <c r="BN9" s="89" t="s">
        <v>208</v>
      </c>
      <c r="BQ9" s="16" t="s">
        <v>304</v>
      </c>
      <c r="BR9" s="16" t="s">
        <v>32</v>
      </c>
      <c r="BS9" s="16" t="s">
        <v>121</v>
      </c>
    </row>
    <row r="10" spans="1:71" ht="27" customHeight="1">
      <c r="A10" s="190" t="s">
        <v>71</v>
      </c>
      <c r="B10" s="191"/>
      <c r="C10" s="191"/>
      <c r="D10" s="191"/>
      <c r="E10" s="191"/>
      <c r="F10" s="191"/>
      <c r="G10" s="191"/>
      <c r="H10" s="192"/>
      <c r="I10" s="200">
        <v>1350</v>
      </c>
      <c r="J10" s="201"/>
      <c r="K10" s="201"/>
      <c r="L10" s="201"/>
      <c r="M10" s="201"/>
      <c r="N10" s="201"/>
      <c r="O10" s="201"/>
      <c r="P10" s="201"/>
      <c r="Q10" s="201"/>
      <c r="R10" s="201"/>
      <c r="S10" s="199" t="s">
        <v>280</v>
      </c>
      <c r="T10" s="199"/>
      <c r="U10" s="199"/>
      <c r="V10" s="199"/>
      <c r="W10" s="199"/>
      <c r="X10" s="199"/>
      <c r="Y10" s="199"/>
      <c r="Z10" s="199"/>
      <c r="AA10" s="199"/>
      <c r="AB10" s="126" t="s">
        <v>115</v>
      </c>
      <c r="AC10" s="127"/>
      <c r="AD10" s="167" t="s">
        <v>70</v>
      </c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8"/>
      <c r="AS10" s="175" t="s">
        <v>277</v>
      </c>
      <c r="AT10" s="176"/>
      <c r="AU10" s="176"/>
      <c r="AV10" s="176"/>
      <c r="AW10" s="176"/>
      <c r="AX10" s="176"/>
      <c r="AY10" s="176"/>
      <c r="AZ10" s="176"/>
      <c r="BA10" s="176"/>
      <c r="BB10" s="176"/>
      <c r="BC10" s="176"/>
      <c r="BD10" s="165" t="s">
        <v>219</v>
      </c>
      <c r="BE10" s="165"/>
      <c r="BF10" s="166"/>
      <c r="BN10" s="89" t="s">
        <v>209</v>
      </c>
    </row>
    <row r="11" spans="1:71" ht="20.149999999999999" customHeight="1">
      <c r="A11" s="18"/>
      <c r="F11" s="2"/>
      <c r="G11" s="238">
        <v>-7</v>
      </c>
      <c r="H11" s="238"/>
      <c r="I11" s="238">
        <v>-6</v>
      </c>
      <c r="J11" s="238"/>
      <c r="K11" s="238">
        <v>-5</v>
      </c>
      <c r="L11" s="238"/>
      <c r="M11" s="238">
        <v>-4</v>
      </c>
      <c r="N11" s="238"/>
      <c r="O11" s="238">
        <v>-3</v>
      </c>
      <c r="P11" s="238"/>
      <c r="Q11" s="238">
        <v>-2</v>
      </c>
      <c r="R11" s="238"/>
      <c r="S11" s="238">
        <v>-1</v>
      </c>
      <c r="T11" s="238"/>
      <c r="U11" s="3">
        <v>0</v>
      </c>
      <c r="V11" s="238">
        <v>1</v>
      </c>
      <c r="W11" s="238"/>
      <c r="X11" s="238">
        <v>2</v>
      </c>
      <c r="Y11" s="238"/>
      <c r="Z11" s="238">
        <v>3</v>
      </c>
      <c r="AA11" s="238"/>
      <c r="AB11" s="238">
        <v>4</v>
      </c>
      <c r="AC11" s="238"/>
      <c r="AD11" s="238">
        <v>5</v>
      </c>
      <c r="AE11" s="238"/>
      <c r="AF11" s="238">
        <v>6</v>
      </c>
      <c r="AG11" s="238"/>
      <c r="AH11" s="238">
        <v>7</v>
      </c>
      <c r="AI11" s="238"/>
      <c r="AJ11" s="4"/>
      <c r="AK11" s="19"/>
      <c r="AL11" s="19"/>
      <c r="AM11" s="19"/>
      <c r="AT11" s="37"/>
      <c r="AU11" s="37" t="s">
        <v>69</v>
      </c>
      <c r="AV11" s="37"/>
      <c r="AW11" s="85"/>
      <c r="AX11" s="36" t="s">
        <v>65</v>
      </c>
      <c r="AY11" s="37" t="s">
        <v>68</v>
      </c>
      <c r="AZ11" s="37"/>
      <c r="BA11" s="36"/>
      <c r="BB11" s="85"/>
      <c r="BC11" s="36"/>
      <c r="BD11" s="37"/>
      <c r="BE11" s="37"/>
      <c r="BF11" s="79"/>
      <c r="BN11" s="89" t="s">
        <v>210</v>
      </c>
    </row>
    <row r="12" spans="1:71" ht="20.149999999999999" customHeight="1">
      <c r="A12" s="18"/>
      <c r="F12" s="5"/>
      <c r="G12" s="83"/>
      <c r="H12" s="6"/>
      <c r="I12" s="83"/>
      <c r="J12" s="6"/>
      <c r="K12" s="83"/>
      <c r="L12" s="6"/>
      <c r="M12" s="103" t="s">
        <v>32</v>
      </c>
      <c r="N12" s="99"/>
      <c r="O12" s="100"/>
      <c r="P12" s="6"/>
      <c r="Q12" s="100"/>
      <c r="R12" s="6"/>
      <c r="S12" s="83"/>
      <c r="T12" s="6"/>
      <c r="U12" s="6"/>
      <c r="V12" s="83"/>
      <c r="W12" s="6"/>
      <c r="X12" s="83"/>
      <c r="Y12" s="101"/>
      <c r="Z12" s="83"/>
      <c r="AA12" s="101"/>
      <c r="AB12" s="83"/>
      <c r="AC12" s="104" t="s">
        <v>32</v>
      </c>
      <c r="AD12" s="83"/>
      <c r="AE12" s="101"/>
      <c r="AF12" s="83"/>
      <c r="AG12" s="6"/>
      <c r="AH12" s="83"/>
      <c r="AI12" s="6"/>
      <c r="AJ12" s="5"/>
      <c r="AK12" s="19"/>
      <c r="AL12" s="19"/>
      <c r="AM12" s="19"/>
      <c r="AT12" s="20"/>
      <c r="AU12" s="20"/>
      <c r="AV12" s="20"/>
      <c r="AW12" s="72"/>
      <c r="AX12" s="103" t="s">
        <v>32</v>
      </c>
      <c r="AY12" s="20" t="s">
        <v>238</v>
      </c>
      <c r="AZ12" s="72"/>
      <c r="BA12" s="72"/>
      <c r="BB12" s="72"/>
      <c r="BC12" s="72"/>
      <c r="BD12" s="20"/>
      <c r="BE12" s="20"/>
      <c r="BF12" s="24"/>
    </row>
    <row r="13" spans="1:71" ht="20.149999999999999" customHeight="1">
      <c r="A13" s="18"/>
      <c r="B13" s="194" t="s">
        <v>86</v>
      </c>
      <c r="C13" s="194"/>
      <c r="F13" s="5"/>
      <c r="G13" s="84"/>
      <c r="H13" s="6"/>
      <c r="I13" s="83"/>
      <c r="J13" s="122" t="s">
        <v>121</v>
      </c>
      <c r="K13" s="39" t="s">
        <v>32</v>
      </c>
      <c r="L13" s="102" t="s">
        <v>32</v>
      </c>
      <c r="M13" s="103" t="s">
        <v>32</v>
      </c>
      <c r="N13" s="99" t="str">
        <f>IF(VLOOKUP($AZ$2,$BQ$2:$BT$9,4,0)=0,"",VLOOKUP($AZ$2,$BQ$2:$BT$9,4,0))</f>
        <v/>
      </c>
      <c r="O13" s="103" t="s">
        <v>32</v>
      </c>
      <c r="P13" s="102" t="s">
        <v>32</v>
      </c>
      <c r="Q13" s="100" t="str">
        <f>IF(VLOOKUP($AZ$2,$BQ$2:$BT$9,4,0)=0,"",VLOOKUP($AZ$2,$BQ$2:$BT$9,4,0))</f>
        <v/>
      </c>
      <c r="R13" s="6"/>
      <c r="S13" s="83"/>
      <c r="T13" s="6"/>
      <c r="U13" s="6"/>
      <c r="V13" s="83"/>
      <c r="W13" s="6"/>
      <c r="X13" s="83"/>
      <c r="Y13" s="101" t="str">
        <f>IF(VLOOKUP($AZ$2,$BQ$2:$BT$9,4,0)=0,"",VLOOKUP($AZ$2,$BQ$2:$BT$9,4,0))</f>
        <v/>
      </c>
      <c r="Z13" s="84" t="s">
        <v>32</v>
      </c>
      <c r="AA13" s="104" t="s">
        <v>32</v>
      </c>
      <c r="AB13" s="83" t="str">
        <f>IF(VLOOKUP($AZ$2,$BQ$2:$BT$9,4,0)=0,"",VLOOKUP($AZ$2,$BQ$2:$BT$9,4,0))</f>
        <v/>
      </c>
      <c r="AC13" s="104" t="s">
        <v>32</v>
      </c>
      <c r="AD13" s="83" t="s">
        <v>32</v>
      </c>
      <c r="AE13" s="102" t="s">
        <v>32</v>
      </c>
      <c r="AF13" s="121" t="s">
        <v>121</v>
      </c>
      <c r="AG13" s="6"/>
      <c r="AH13" s="83"/>
      <c r="AI13" s="39"/>
      <c r="AJ13" s="5"/>
      <c r="AK13" s="5"/>
      <c r="AL13" s="19"/>
      <c r="AM13" s="19"/>
      <c r="AW13" s="72"/>
      <c r="AX13" s="72"/>
      <c r="AY13" s="72"/>
      <c r="AZ13" s="72"/>
      <c r="BA13" s="72"/>
      <c r="BB13" s="72"/>
      <c r="BC13" s="72"/>
      <c r="BF13" s="25"/>
    </row>
    <row r="14" spans="1:71" ht="20.149999999999999" customHeight="1">
      <c r="A14" s="18"/>
      <c r="B14" s="194"/>
      <c r="C14" s="194"/>
      <c r="F14" s="5"/>
      <c r="G14" s="84"/>
      <c r="H14" s="6"/>
      <c r="I14" s="83"/>
      <c r="J14" s="39" t="s">
        <v>32</v>
      </c>
      <c r="K14" s="98"/>
      <c r="L14" s="6" t="str">
        <f t="shared" ref="L14:M14" si="0">IF(VLOOKUP($AZ$2,$BQ$2:$BT$9,4,0)=0,"",VLOOKUP($AZ$2,$BQ$2:$BT$9,4,0))</f>
        <v/>
      </c>
      <c r="M14" s="6" t="str">
        <f t="shared" si="0"/>
        <v/>
      </c>
      <c r="N14" s="99" t="str">
        <f>IF(VLOOKUP($AZ$2,$BQ$2:$BT$9,4,0)=0,"",VLOOKUP($AZ$2,$BQ$2:$BT$9,4,0))</f>
        <v/>
      </c>
      <c r="O14" s="100" t="str">
        <f>IF(VLOOKUP($AZ$2,$BQ$2:$BT$9,4,0)=0,"",VLOOKUP($AZ$2,$BQ$2:$BT$9,4,0))</f>
        <v/>
      </c>
      <c r="P14" s="39" t="s">
        <v>32</v>
      </c>
      <c r="Q14" s="100" t="str">
        <f>IF(VLOOKUP($AZ$2,$BQ$2:$BT$9,4,0)=0,"",VLOOKUP($AZ$2,$BQ$2:$BT$9,4,0))</f>
        <v/>
      </c>
      <c r="R14" s="6"/>
      <c r="S14" s="83"/>
      <c r="T14" s="39" t="s">
        <v>32</v>
      </c>
      <c r="U14" s="6"/>
      <c r="V14" s="84" t="s">
        <v>32</v>
      </c>
      <c r="W14" s="6"/>
      <c r="X14" s="83"/>
      <c r="Y14" s="101" t="str">
        <f>IF(VLOOKUP($AZ$2,$BQ$2:$BT$9,4,0)=0,"",VLOOKUP($AZ$2,$BQ$2:$BT$9,4,0))</f>
        <v/>
      </c>
      <c r="Z14" s="84" t="s">
        <v>32</v>
      </c>
      <c r="AA14" s="101" t="str">
        <f>IF(VLOOKUP($AZ$2,$BQ$2:$BT$9,4,0)=0,"",VLOOKUP($AZ$2,$BQ$2:$BT$9,4,0))</f>
        <v/>
      </c>
      <c r="AB14" s="83" t="str">
        <f>IF(VLOOKUP($AZ$2,$BQ$2:$BT$9,4,0)=0,"",VLOOKUP($AZ$2,$BQ$2:$BT$9,4,0))</f>
        <v/>
      </c>
      <c r="AC14" s="101" t="str">
        <f t="shared" ref="AC14:AD14" si="1">IF(VLOOKUP($AZ$2,$BQ$2:$BT$9,4,0)=0,"",VLOOKUP($AZ$2,$BQ$2:$BT$9,4,0))</f>
        <v/>
      </c>
      <c r="AD14" s="83" t="str">
        <f t="shared" si="1"/>
        <v/>
      </c>
      <c r="AE14" s="105"/>
      <c r="AF14" s="84" t="str">
        <f>IF(VLOOKUP($AZ$2,$BQ$2:$BT$9,2,0)=0,"",VLOOKUP($AZ$2,$BQ$2:$BT$9,2,0))</f>
        <v>○</v>
      </c>
      <c r="AG14" s="6"/>
      <c r="AH14" s="83"/>
      <c r="AI14" s="39"/>
      <c r="AJ14" s="5"/>
      <c r="AK14" s="5"/>
      <c r="AL14" s="19"/>
      <c r="AM14" s="19"/>
      <c r="AW14" s="72"/>
      <c r="AX14" s="72"/>
      <c r="AY14" s="72"/>
      <c r="AZ14" s="72"/>
      <c r="BA14" s="72"/>
      <c r="BB14" s="72"/>
      <c r="BC14" s="72"/>
      <c r="BF14" s="25"/>
    </row>
    <row r="15" spans="1:71" ht="20.149999999999999" customHeight="1">
      <c r="A15" s="18"/>
      <c r="B15" s="194"/>
      <c r="C15" s="194"/>
      <c r="F15" s="5"/>
      <c r="G15" s="84"/>
      <c r="H15" s="6"/>
      <c r="I15" s="83"/>
      <c r="J15" s="6"/>
      <c r="K15" s="83"/>
      <c r="L15" s="6"/>
      <c r="M15" s="6"/>
      <c r="N15" s="99"/>
      <c r="O15" s="100"/>
      <c r="P15" s="6"/>
      <c r="Q15" s="100"/>
      <c r="R15" s="6"/>
      <c r="S15" s="83"/>
      <c r="T15" s="6"/>
      <c r="U15" s="6"/>
      <c r="V15" s="83"/>
      <c r="W15" s="6"/>
      <c r="X15" s="83"/>
      <c r="Y15" s="101"/>
      <c r="Z15" s="83"/>
      <c r="AA15" s="101"/>
      <c r="AB15" s="83"/>
      <c r="AC15" s="101"/>
      <c r="AD15" s="83"/>
      <c r="AE15" s="101"/>
      <c r="AF15" s="83"/>
      <c r="AG15" s="6"/>
      <c r="AH15" s="83"/>
      <c r="AI15" s="39"/>
      <c r="AJ15" s="5"/>
      <c r="AK15" s="5"/>
      <c r="AL15" s="19"/>
      <c r="AM15" s="19"/>
      <c r="AW15" s="72"/>
      <c r="AX15" s="72"/>
      <c r="AY15" s="72"/>
      <c r="AZ15" s="72"/>
      <c r="BA15" s="72"/>
      <c r="BB15" s="72"/>
      <c r="BC15" s="72"/>
      <c r="BF15" s="25"/>
    </row>
    <row r="16" spans="1:71" ht="20.149999999999999" customHeight="1">
      <c r="A16" s="18"/>
      <c r="B16" s="194"/>
      <c r="C16" s="194"/>
      <c r="F16" s="5"/>
      <c r="G16" s="84"/>
      <c r="H16" s="6"/>
      <c r="I16" s="83"/>
      <c r="J16" s="6"/>
      <c r="K16" s="83"/>
      <c r="L16" s="6"/>
      <c r="M16" s="6"/>
      <c r="N16" s="99"/>
      <c r="O16" s="100"/>
      <c r="P16" s="102"/>
      <c r="Q16" s="100"/>
      <c r="R16" s="6"/>
      <c r="S16" s="83"/>
      <c r="T16" s="6"/>
      <c r="U16" s="6"/>
      <c r="V16" s="83"/>
      <c r="W16" s="6"/>
      <c r="X16" s="83"/>
      <c r="Y16" s="101"/>
      <c r="Z16" s="84"/>
      <c r="AA16" s="101"/>
      <c r="AB16" s="83"/>
      <c r="AC16" s="101"/>
      <c r="AD16" s="83"/>
      <c r="AE16" s="101"/>
      <c r="AF16" s="83"/>
      <c r="AG16" s="6"/>
      <c r="AH16" s="83"/>
      <c r="AI16" s="39"/>
      <c r="AJ16" s="5"/>
      <c r="AK16" s="5"/>
      <c r="AL16" s="19"/>
      <c r="AM16" s="208" t="s">
        <v>67</v>
      </c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80"/>
    </row>
    <row r="17" spans="1:58" ht="20.149999999999999" customHeight="1">
      <c r="A17" s="18"/>
      <c r="B17" s="194"/>
      <c r="C17" s="194"/>
      <c r="F17" s="5"/>
      <c r="G17" s="39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39"/>
      <c r="AJ17" s="5"/>
      <c r="AK17" s="5"/>
      <c r="AL17" s="19"/>
      <c r="AM17" s="208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80"/>
    </row>
    <row r="18" spans="1:58" ht="20.149999999999999" customHeight="1">
      <c r="A18" s="18"/>
      <c r="B18" s="194"/>
      <c r="C18" s="194"/>
      <c r="F18" s="5"/>
      <c r="G18" s="39"/>
      <c r="H18" s="6"/>
      <c r="I18" s="6"/>
      <c r="J18" s="6"/>
      <c r="K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E18" s="6"/>
      <c r="AF18" s="6"/>
      <c r="AG18" s="6"/>
      <c r="AH18" s="6"/>
      <c r="AI18" s="39"/>
      <c r="AJ18" s="5"/>
      <c r="AK18" s="5"/>
      <c r="AL18" s="19"/>
      <c r="AM18" s="208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80"/>
    </row>
    <row r="19" spans="1:58" ht="20.149999999999999" customHeight="1">
      <c r="A19" s="18"/>
      <c r="B19" s="194"/>
      <c r="C19" s="194"/>
      <c r="F19" s="5"/>
      <c r="G19" s="39"/>
      <c r="H19" s="6"/>
      <c r="I19" s="6"/>
      <c r="J19" s="6"/>
      <c r="K19" s="39"/>
      <c r="N19" s="6"/>
      <c r="O19" s="39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39"/>
      <c r="AB19" s="6"/>
      <c r="AE19" s="39"/>
      <c r="AF19" s="6"/>
      <c r="AG19" s="6"/>
      <c r="AH19" s="6"/>
      <c r="AI19" s="39"/>
      <c r="AJ19" s="5"/>
      <c r="AK19" s="5"/>
      <c r="AL19" s="19"/>
      <c r="AM19" s="193" t="s">
        <v>48</v>
      </c>
      <c r="AO19" s="26"/>
      <c r="AP19" s="20"/>
      <c r="AQ19" s="20"/>
      <c r="AR19" s="20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80"/>
    </row>
    <row r="20" spans="1:58" ht="20.149999999999999" customHeight="1">
      <c r="A20" s="18"/>
      <c r="B20" s="194"/>
      <c r="C20" s="194"/>
      <c r="F20" s="5"/>
      <c r="G20" s="39"/>
      <c r="H20" s="6"/>
      <c r="I20" s="6"/>
      <c r="J20" s="6"/>
      <c r="K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E20" s="6"/>
      <c r="AF20" s="6"/>
      <c r="AG20" s="6"/>
      <c r="AH20" s="6"/>
      <c r="AI20" s="39"/>
      <c r="AJ20" s="5"/>
      <c r="AK20" s="5"/>
      <c r="AL20" s="19"/>
      <c r="AM20" s="193"/>
      <c r="AO20" s="20"/>
      <c r="AP20" s="20"/>
      <c r="AQ20" s="20"/>
      <c r="AR20" s="20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80"/>
    </row>
    <row r="21" spans="1:58" ht="20.149999999999999" customHeight="1">
      <c r="A21" s="18"/>
      <c r="B21" s="194"/>
      <c r="C21" s="194"/>
      <c r="F21" s="5"/>
      <c r="G21" s="39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39"/>
      <c r="AJ21" s="5"/>
      <c r="AK21" s="5"/>
      <c r="AL21" s="19"/>
      <c r="AM21" s="193"/>
      <c r="AO21" s="27"/>
      <c r="AP21" s="27"/>
      <c r="AQ21" s="27"/>
      <c r="AR21" s="27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80"/>
    </row>
    <row r="22" spans="1:58" ht="20.149999999999999" customHeight="1">
      <c r="A22" s="18"/>
      <c r="B22" s="194"/>
      <c r="C22" s="194"/>
      <c r="F22" s="5"/>
      <c r="G22" s="84"/>
      <c r="H22" s="6"/>
      <c r="I22" s="83"/>
      <c r="J22" s="6"/>
      <c r="K22" s="83"/>
      <c r="L22" s="6"/>
      <c r="M22" s="6"/>
      <c r="N22" s="99"/>
      <c r="O22" s="100"/>
      <c r="P22" s="102"/>
      <c r="Q22" s="100"/>
      <c r="R22" s="6"/>
      <c r="S22" s="83"/>
      <c r="T22" s="6"/>
      <c r="U22" s="6"/>
      <c r="V22" s="83"/>
      <c r="W22" s="6"/>
      <c r="X22" s="83"/>
      <c r="Y22" s="101"/>
      <c r="Z22" s="84"/>
      <c r="AA22" s="101"/>
      <c r="AB22" s="83"/>
      <c r="AC22" s="101"/>
      <c r="AD22" s="83"/>
      <c r="AE22" s="101"/>
      <c r="AF22" s="83"/>
      <c r="AG22" s="6"/>
      <c r="AH22" s="83"/>
      <c r="AI22" s="39"/>
      <c r="AJ22" s="5"/>
      <c r="AK22" s="5"/>
      <c r="AL22" s="19"/>
      <c r="AM22" s="193"/>
      <c r="AO22" s="27"/>
      <c r="AP22" s="27"/>
      <c r="AQ22" s="27"/>
      <c r="AR22" s="27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80"/>
    </row>
    <row r="23" spans="1:58" ht="20.149999999999999" customHeight="1">
      <c r="A23" s="18"/>
      <c r="B23" s="194"/>
      <c r="C23" s="194"/>
      <c r="F23" s="5"/>
      <c r="G23" s="84"/>
      <c r="H23" s="6"/>
      <c r="I23" s="83"/>
      <c r="J23" s="6"/>
      <c r="K23" s="83"/>
      <c r="L23" s="6"/>
      <c r="M23" s="6"/>
      <c r="N23" s="99"/>
      <c r="O23" s="100"/>
      <c r="P23" s="6"/>
      <c r="Q23" s="100"/>
      <c r="R23" s="6"/>
      <c r="S23" s="83"/>
      <c r="T23" s="6"/>
      <c r="U23" s="6"/>
      <c r="V23" s="83"/>
      <c r="W23" s="6"/>
      <c r="X23" s="83"/>
      <c r="Y23" s="101"/>
      <c r="Z23" s="83"/>
      <c r="AA23" s="101"/>
      <c r="AB23" s="83"/>
      <c r="AC23" s="101"/>
      <c r="AD23" s="83"/>
      <c r="AE23" s="101"/>
      <c r="AF23" s="83"/>
      <c r="AG23" s="6"/>
      <c r="AH23" s="83"/>
      <c r="AI23" s="39"/>
      <c r="AJ23" s="5"/>
      <c r="AK23" s="5"/>
      <c r="AL23" s="19"/>
      <c r="AM23" s="193"/>
      <c r="AO23" s="27"/>
      <c r="AP23" s="27"/>
      <c r="AQ23" s="27"/>
      <c r="AR23" s="27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80"/>
    </row>
    <row r="24" spans="1:58" ht="20.149999999999999" customHeight="1">
      <c r="A24" s="18"/>
      <c r="B24" s="194"/>
      <c r="C24" s="194"/>
      <c r="F24" s="5"/>
      <c r="G24" s="84"/>
      <c r="H24" s="6"/>
      <c r="I24" s="83"/>
      <c r="J24" s="39" t="s">
        <v>32</v>
      </c>
      <c r="K24" s="98"/>
      <c r="L24" s="6" t="str">
        <f t="shared" ref="L24:O24" si="2">IF(VLOOKUP($AZ$2,$BQ$2:$BT$9,4,0)=0,"",VLOOKUP($AZ$2,$BQ$2:$BT$9,4,0))</f>
        <v/>
      </c>
      <c r="M24" s="6" t="str">
        <f t="shared" si="2"/>
        <v/>
      </c>
      <c r="N24" s="99" t="str">
        <f t="shared" si="2"/>
        <v/>
      </c>
      <c r="O24" s="100" t="str">
        <f t="shared" si="2"/>
        <v/>
      </c>
      <c r="P24" s="39" t="s">
        <v>32</v>
      </c>
      <c r="Q24" s="100" t="str">
        <f>IF(VLOOKUP($AZ$2,$BQ$2:$BT$9,4,0)=0,"",VLOOKUP($AZ$2,$BQ$2:$BT$9,4,0))</f>
        <v/>
      </c>
      <c r="R24" s="6"/>
      <c r="S24" s="83"/>
      <c r="T24" s="39" t="s">
        <v>32</v>
      </c>
      <c r="U24" s="6"/>
      <c r="V24" s="83" t="s">
        <v>32</v>
      </c>
      <c r="W24" s="6"/>
      <c r="X24" s="83"/>
      <c r="Y24" s="101" t="str">
        <f>IF(VLOOKUP($AZ$2,$BQ$2:$BT$9,4,0)=0,"",VLOOKUP($AZ$2,$BQ$2:$BT$9,4,0))</f>
        <v/>
      </c>
      <c r="Z24" s="39" t="s">
        <v>32</v>
      </c>
      <c r="AA24" s="101" t="str">
        <f t="shared" ref="AA24:AD24" si="3">IF(VLOOKUP($AZ$2,$BQ$2:$BT$9,4,0)=0,"",VLOOKUP($AZ$2,$BQ$2:$BT$9,4,0))</f>
        <v/>
      </c>
      <c r="AB24" s="83" t="str">
        <f t="shared" si="3"/>
        <v/>
      </c>
      <c r="AC24" s="101" t="str">
        <f t="shared" si="3"/>
        <v/>
      </c>
      <c r="AD24" s="83" t="str">
        <f t="shared" si="3"/>
        <v/>
      </c>
      <c r="AE24" s="101"/>
      <c r="AF24" s="83" t="s">
        <v>237</v>
      </c>
      <c r="AG24" s="6"/>
      <c r="AH24" s="83"/>
      <c r="AI24" s="39"/>
      <c r="AJ24" s="5"/>
      <c r="AK24" s="5"/>
      <c r="AL24" s="19"/>
      <c r="AM24" s="19"/>
      <c r="AO24" s="27"/>
      <c r="AP24" s="27"/>
      <c r="AQ24" s="27"/>
      <c r="AR24" s="27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80"/>
    </row>
    <row r="25" spans="1:58" ht="20.149999999999999" customHeight="1">
      <c r="A25" s="18"/>
      <c r="F25" s="5"/>
      <c r="G25" s="84"/>
      <c r="H25" s="6"/>
      <c r="I25" s="83"/>
      <c r="J25" s="122" t="s">
        <v>121</v>
      </c>
      <c r="K25" s="39" t="s">
        <v>32</v>
      </c>
      <c r="L25" s="102" t="s">
        <v>32</v>
      </c>
      <c r="M25" s="39" t="s">
        <v>32</v>
      </c>
      <c r="N25" s="99" t="str">
        <f>IF(VLOOKUP($AZ$2,$BQ$2:$BT$9,4,0)=0,"",VLOOKUP($AZ$2,$BQ$2:$BT$9,4,0))</f>
        <v/>
      </c>
      <c r="O25" s="39" t="s">
        <v>32</v>
      </c>
      <c r="P25" s="102" t="s">
        <v>32</v>
      </c>
      <c r="Q25" s="100" t="str">
        <f>IF(VLOOKUP($AZ$2,$BQ$2:$BT$9,4,0)=0,"",VLOOKUP($AZ$2,$BQ$2:$BT$9,4,0))</f>
        <v/>
      </c>
      <c r="R25" s="6"/>
      <c r="S25" s="83"/>
      <c r="T25" s="6"/>
      <c r="U25" s="6"/>
      <c r="V25" s="83"/>
      <c r="W25" s="6"/>
      <c r="X25" s="83"/>
      <c r="Y25" s="101" t="str">
        <f>IF(VLOOKUP($AZ$2,$BQ$2:$BT$9,4,0)=0,"",VLOOKUP($AZ$2,$BQ$2:$BT$9,4,0))</f>
        <v/>
      </c>
      <c r="Z25" s="39" t="s">
        <v>32</v>
      </c>
      <c r="AA25" s="102" t="s">
        <v>32</v>
      </c>
      <c r="AB25" s="83" t="str">
        <f>IF(VLOOKUP($AZ$2,$BQ$2:$BT$9,4,0)=0,"",VLOOKUP($AZ$2,$BQ$2:$BT$9,4,0))</f>
        <v/>
      </c>
      <c r="AC25" s="39" t="s">
        <v>32</v>
      </c>
      <c r="AD25" s="83" t="s">
        <v>32</v>
      </c>
      <c r="AE25" s="102" t="s">
        <v>32</v>
      </c>
      <c r="AF25" s="121" t="s">
        <v>121</v>
      </c>
      <c r="AG25" s="6"/>
      <c r="AH25" s="83"/>
      <c r="AI25" s="39"/>
      <c r="AJ25" s="5"/>
      <c r="AK25" s="5"/>
      <c r="AL25" s="19"/>
      <c r="AM25" s="19"/>
      <c r="AO25" s="27"/>
      <c r="AP25" s="27"/>
      <c r="AQ25" s="27"/>
      <c r="AR25" s="27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80"/>
    </row>
    <row r="26" spans="1:58" ht="20.149999999999999" customHeight="1">
      <c r="A26" s="18"/>
      <c r="F26" s="5"/>
      <c r="G26" s="83"/>
      <c r="H26" s="6"/>
      <c r="I26" s="83"/>
      <c r="J26" s="6"/>
      <c r="K26" s="83"/>
      <c r="L26" s="6"/>
      <c r="M26" s="39" t="s">
        <v>32</v>
      </c>
      <c r="N26" s="99"/>
      <c r="O26" s="100"/>
      <c r="P26" s="6"/>
      <c r="Q26" s="100"/>
      <c r="R26" s="6"/>
      <c r="S26" s="83"/>
      <c r="T26" s="6"/>
      <c r="U26" s="6"/>
      <c r="V26" s="83"/>
      <c r="W26" s="6"/>
      <c r="X26" s="83"/>
      <c r="Y26" s="101"/>
      <c r="Z26" s="83"/>
      <c r="AA26" s="101"/>
      <c r="AB26" s="83"/>
      <c r="AC26" s="39" t="s">
        <v>32</v>
      </c>
      <c r="AD26" s="83"/>
      <c r="AE26" s="101"/>
      <c r="AF26" s="83"/>
      <c r="AG26" s="6"/>
      <c r="AH26" s="83"/>
      <c r="AI26" s="6"/>
      <c r="AJ26" s="5"/>
      <c r="AK26" s="5"/>
      <c r="AL26" s="19"/>
      <c r="AM26" s="19"/>
      <c r="AO26" s="27"/>
      <c r="AP26" s="27"/>
      <c r="AQ26" s="27"/>
      <c r="AR26" s="27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80"/>
    </row>
    <row r="27" spans="1:58" ht="20.149999999999999" customHeight="1">
      <c r="A27" s="18"/>
      <c r="F27" s="7"/>
      <c r="G27" s="237">
        <v>-7</v>
      </c>
      <c r="H27" s="237"/>
      <c r="I27" s="237">
        <v>-6</v>
      </c>
      <c r="J27" s="237"/>
      <c r="K27" s="237">
        <v>-5</v>
      </c>
      <c r="L27" s="237"/>
      <c r="M27" s="237">
        <v>-4</v>
      </c>
      <c r="N27" s="237"/>
      <c r="O27" s="237">
        <v>-3</v>
      </c>
      <c r="P27" s="237"/>
      <c r="Q27" s="237">
        <v>-2</v>
      </c>
      <c r="R27" s="237"/>
      <c r="S27" s="237">
        <v>-1</v>
      </c>
      <c r="T27" s="237"/>
      <c r="U27" s="87">
        <v>0</v>
      </c>
      <c r="V27" s="237">
        <v>1</v>
      </c>
      <c r="W27" s="237"/>
      <c r="X27" s="237">
        <v>2</v>
      </c>
      <c r="Y27" s="237"/>
      <c r="Z27" s="237">
        <v>3</v>
      </c>
      <c r="AA27" s="237"/>
      <c r="AB27" s="237">
        <v>4</v>
      </c>
      <c r="AC27" s="237"/>
      <c r="AD27" s="237">
        <v>5</v>
      </c>
      <c r="AE27" s="237"/>
      <c r="AF27" s="237">
        <v>6</v>
      </c>
      <c r="AG27" s="237"/>
      <c r="AH27" s="237">
        <v>7</v>
      </c>
      <c r="AI27" s="237"/>
      <c r="AJ27" s="10"/>
      <c r="AK27" s="28"/>
      <c r="AL27" s="28"/>
      <c r="AM27" s="28"/>
      <c r="AN27" s="29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86"/>
    </row>
    <row r="28" spans="1:58" ht="20.149999999999999" customHeight="1">
      <c r="A28" s="31"/>
      <c r="B28" s="32"/>
      <c r="C28" s="32"/>
      <c r="D28" s="32"/>
      <c r="E28" s="32"/>
      <c r="F28" s="116"/>
      <c r="G28" s="116"/>
      <c r="H28" s="117">
        <v>-13</v>
      </c>
      <c r="I28" s="117">
        <v>-12</v>
      </c>
      <c r="J28" s="117">
        <v>-11</v>
      </c>
      <c r="K28" s="117">
        <v>-10</v>
      </c>
      <c r="L28" s="118">
        <v>-9</v>
      </c>
      <c r="M28" s="118">
        <v>-8</v>
      </c>
      <c r="N28" s="118">
        <v>-7</v>
      </c>
      <c r="O28" s="118">
        <v>-6</v>
      </c>
      <c r="P28" s="118">
        <v>-5</v>
      </c>
      <c r="Q28" s="118">
        <v>-4</v>
      </c>
      <c r="R28" s="118">
        <v>-3</v>
      </c>
      <c r="S28" s="118">
        <v>-2</v>
      </c>
      <c r="T28" s="118">
        <v>-1</v>
      </c>
      <c r="U28" s="118">
        <v>0</v>
      </c>
      <c r="V28" s="118">
        <v>1</v>
      </c>
      <c r="W28" s="118">
        <v>2</v>
      </c>
      <c r="X28" s="118">
        <v>3</v>
      </c>
      <c r="Y28" s="118">
        <v>4</v>
      </c>
      <c r="Z28" s="118">
        <v>5</v>
      </c>
      <c r="AA28" s="118">
        <v>6</v>
      </c>
      <c r="AB28" s="118">
        <v>7</v>
      </c>
      <c r="AC28" s="118">
        <v>8</v>
      </c>
      <c r="AD28" s="118">
        <v>9</v>
      </c>
      <c r="AE28" s="117">
        <v>10</v>
      </c>
      <c r="AF28" s="117">
        <v>11</v>
      </c>
      <c r="AG28" s="117">
        <v>12</v>
      </c>
      <c r="AH28" s="117">
        <v>13</v>
      </c>
      <c r="AI28" s="119"/>
      <c r="AJ28" s="117"/>
      <c r="AK28" s="19"/>
      <c r="AL28" s="19"/>
      <c r="AM28" s="19"/>
      <c r="AT28" s="20"/>
      <c r="AU28" s="20"/>
      <c r="AV28" s="20" t="s">
        <v>21</v>
      </c>
      <c r="AW28" s="20"/>
      <c r="AX28" s="20"/>
      <c r="AY28" s="20"/>
      <c r="AZ28" s="71"/>
      <c r="BA28" s="23" t="s">
        <v>64</v>
      </c>
      <c r="BB28" s="20" t="s">
        <v>239</v>
      </c>
      <c r="BC28" s="20"/>
      <c r="BD28" s="20"/>
      <c r="BF28" s="25"/>
    </row>
    <row r="29" spans="1:58" ht="20.149999999999999" customHeight="1">
      <c r="A29" s="18"/>
      <c r="F29" s="115"/>
      <c r="G29" s="115">
        <v>6</v>
      </c>
      <c r="H29" s="6" t="s">
        <v>32</v>
      </c>
      <c r="I29" s="6" t="s">
        <v>32</v>
      </c>
      <c r="J29" s="6" t="s">
        <v>32</v>
      </c>
      <c r="K29" s="6" t="s">
        <v>32</v>
      </c>
      <c r="L29" s="6" t="s">
        <v>32</v>
      </c>
      <c r="M29" s="6" t="s">
        <v>32</v>
      </c>
      <c r="N29" s="6" t="s">
        <v>32</v>
      </c>
      <c r="O29" s="6" t="s">
        <v>32</v>
      </c>
      <c r="P29" s="6" t="s">
        <v>32</v>
      </c>
      <c r="Q29" s="6" t="s">
        <v>32</v>
      </c>
      <c r="R29" s="6" t="s">
        <v>32</v>
      </c>
      <c r="S29" s="6" t="s">
        <v>32</v>
      </c>
      <c r="T29" s="6" t="s">
        <v>32</v>
      </c>
      <c r="U29" s="6" t="s">
        <v>32</v>
      </c>
      <c r="V29" s="6" t="s">
        <v>32</v>
      </c>
      <c r="W29" s="6" t="s">
        <v>32</v>
      </c>
      <c r="X29" s="6" t="s">
        <v>32</v>
      </c>
      <c r="Y29" s="6" t="s">
        <v>32</v>
      </c>
      <c r="Z29" s="6" t="s">
        <v>32</v>
      </c>
      <c r="AA29" s="6" t="s">
        <v>32</v>
      </c>
      <c r="AB29" s="6" t="s">
        <v>32</v>
      </c>
      <c r="AC29" s="6" t="s">
        <v>32</v>
      </c>
      <c r="AD29" s="6" t="s">
        <v>32</v>
      </c>
      <c r="AE29" s="6" t="s">
        <v>32</v>
      </c>
      <c r="AF29" s="6" t="s">
        <v>32</v>
      </c>
      <c r="AG29" s="6" t="s">
        <v>32</v>
      </c>
      <c r="AH29" s="6" t="s">
        <v>32</v>
      </c>
      <c r="AI29" s="118">
        <v>6</v>
      </c>
      <c r="AJ29" s="6"/>
      <c r="AK29" s="19"/>
      <c r="AL29" s="19"/>
      <c r="AM29" s="19"/>
      <c r="AT29" s="20"/>
      <c r="AU29" s="20"/>
      <c r="AV29" s="20"/>
      <c r="AW29" s="20"/>
      <c r="AX29" s="20"/>
      <c r="AY29" s="20"/>
      <c r="AZ29" s="71"/>
      <c r="BA29" s="103" t="s">
        <v>32</v>
      </c>
      <c r="BB29" s="20" t="s">
        <v>240</v>
      </c>
      <c r="BC29" s="20"/>
      <c r="BD29" s="20"/>
      <c r="BF29" s="25"/>
    </row>
    <row r="30" spans="1:58" ht="20.149999999999999" customHeight="1">
      <c r="A30" s="18"/>
      <c r="F30" s="115"/>
      <c r="G30" s="115">
        <v>5</v>
      </c>
      <c r="H30" s="6" t="s">
        <v>32</v>
      </c>
      <c r="I30" s="6" t="s">
        <v>32</v>
      </c>
      <c r="J30" s="6" t="s">
        <v>32</v>
      </c>
      <c r="K30" s="6" t="s">
        <v>32</v>
      </c>
      <c r="L30" s="6" t="s">
        <v>32</v>
      </c>
      <c r="M30" s="6" t="s">
        <v>32</v>
      </c>
      <c r="N30" s="6" t="s">
        <v>32</v>
      </c>
      <c r="O30" s="6" t="s">
        <v>32</v>
      </c>
      <c r="P30" s="6" t="s">
        <v>32</v>
      </c>
      <c r="Q30" s="6" t="s">
        <v>32</v>
      </c>
      <c r="R30" s="6" t="s">
        <v>32</v>
      </c>
      <c r="S30" s="6" t="s">
        <v>32</v>
      </c>
      <c r="T30" s="6" t="s">
        <v>297</v>
      </c>
      <c r="U30" s="6" t="s">
        <v>32</v>
      </c>
      <c r="V30" s="6" t="s">
        <v>32</v>
      </c>
      <c r="W30" s="6" t="s">
        <v>297</v>
      </c>
      <c r="X30" s="6" t="s">
        <v>32</v>
      </c>
      <c r="Y30" s="6" t="s">
        <v>32</v>
      </c>
      <c r="Z30" s="6" t="s">
        <v>32</v>
      </c>
      <c r="AA30" s="6" t="s">
        <v>32</v>
      </c>
      <c r="AB30" s="6" t="s">
        <v>32</v>
      </c>
      <c r="AC30" s="6" t="s">
        <v>297</v>
      </c>
      <c r="AD30" s="6" t="s">
        <v>32</v>
      </c>
      <c r="AE30" s="6" t="s">
        <v>32</v>
      </c>
      <c r="AF30" s="6" t="s">
        <v>32</v>
      </c>
      <c r="AG30" s="6" t="s">
        <v>32</v>
      </c>
      <c r="AH30" s="6" t="s">
        <v>32</v>
      </c>
      <c r="AI30" s="118">
        <v>5</v>
      </c>
      <c r="AJ30" s="6"/>
      <c r="AK30" s="19"/>
      <c r="AL30" s="19"/>
      <c r="AM30" s="19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F30" s="25"/>
    </row>
    <row r="31" spans="1:58" ht="20.149999999999999" customHeight="1">
      <c r="A31" s="18"/>
      <c r="B31" s="194" t="s">
        <v>23</v>
      </c>
      <c r="C31" s="194"/>
      <c r="F31" s="115"/>
      <c r="G31" s="115">
        <v>4</v>
      </c>
      <c r="H31" s="6" t="s">
        <v>32</v>
      </c>
      <c r="I31" s="6" t="s">
        <v>32</v>
      </c>
      <c r="J31" s="6" t="s">
        <v>32</v>
      </c>
      <c r="K31" s="6" t="s">
        <v>32</v>
      </c>
      <c r="L31" s="6" t="s">
        <v>32</v>
      </c>
      <c r="M31" s="6" t="s">
        <v>32</v>
      </c>
      <c r="N31" s="6" t="s">
        <v>32</v>
      </c>
      <c r="O31" s="6" t="s">
        <v>32</v>
      </c>
      <c r="P31" s="6" t="s">
        <v>32</v>
      </c>
      <c r="Q31" s="6" t="s">
        <v>32</v>
      </c>
      <c r="R31" s="6" t="s">
        <v>32</v>
      </c>
      <c r="S31" s="6" t="s">
        <v>297</v>
      </c>
      <c r="T31" s="6" t="s">
        <v>32</v>
      </c>
      <c r="U31" s="6" t="s">
        <v>32</v>
      </c>
      <c r="V31" s="6" t="s">
        <v>32</v>
      </c>
      <c r="W31" s="6" t="s">
        <v>32</v>
      </c>
      <c r="X31" s="6" t="s">
        <v>32</v>
      </c>
      <c r="Y31" s="6" t="s">
        <v>32</v>
      </c>
      <c r="Z31" s="6" t="s">
        <v>297</v>
      </c>
      <c r="AA31" s="6" t="s">
        <v>32</v>
      </c>
      <c r="AB31" s="6" t="s">
        <v>32</v>
      </c>
      <c r="AC31" s="6" t="s">
        <v>32</v>
      </c>
      <c r="AD31" s="6" t="s">
        <v>32</v>
      </c>
      <c r="AE31" s="6" t="s">
        <v>297</v>
      </c>
      <c r="AF31" s="6" t="s">
        <v>32</v>
      </c>
      <c r="AG31" s="6" t="s">
        <v>32</v>
      </c>
      <c r="AH31" s="6" t="s">
        <v>32</v>
      </c>
      <c r="AI31" s="118">
        <v>4</v>
      </c>
      <c r="AJ31" s="6"/>
      <c r="AK31" s="19"/>
      <c r="AL31" s="19"/>
      <c r="AM31" s="19"/>
      <c r="BF31" s="25"/>
    </row>
    <row r="32" spans="1:58" ht="20.149999999999999" customHeight="1">
      <c r="A32" s="18"/>
      <c r="B32" s="194"/>
      <c r="C32" s="194"/>
      <c r="F32" s="115"/>
      <c r="G32" s="115">
        <v>3</v>
      </c>
      <c r="H32" s="6" t="s">
        <v>32</v>
      </c>
      <c r="I32" s="6" t="s">
        <v>32</v>
      </c>
      <c r="J32" s="6" t="s">
        <v>32</v>
      </c>
      <c r="K32" s="6" t="s">
        <v>32</v>
      </c>
      <c r="L32" s="6" t="s">
        <v>297</v>
      </c>
      <c r="M32" s="6" t="s">
        <v>32</v>
      </c>
      <c r="N32" s="6" t="s">
        <v>297</v>
      </c>
      <c r="O32" s="6" t="s">
        <v>32</v>
      </c>
      <c r="P32" s="6" t="s">
        <v>32</v>
      </c>
      <c r="Q32" s="6" t="s">
        <v>32</v>
      </c>
      <c r="R32" s="6" t="s">
        <v>32</v>
      </c>
      <c r="S32" s="6" t="s">
        <v>297</v>
      </c>
      <c r="T32" s="6" t="s">
        <v>32</v>
      </c>
      <c r="U32" s="6" t="s">
        <v>32</v>
      </c>
      <c r="V32" s="6" t="s">
        <v>297</v>
      </c>
      <c r="W32" s="6" t="s">
        <v>32</v>
      </c>
      <c r="X32" s="6" t="s">
        <v>297</v>
      </c>
      <c r="Y32" s="6" t="s">
        <v>32</v>
      </c>
      <c r="Z32" s="6" t="s">
        <v>32</v>
      </c>
      <c r="AA32" s="6" t="s">
        <v>32</v>
      </c>
      <c r="AB32" s="6" t="s">
        <v>32</v>
      </c>
      <c r="AC32" s="6" t="s">
        <v>297</v>
      </c>
      <c r="AD32" s="6" t="s">
        <v>297</v>
      </c>
      <c r="AE32" s="6" t="s">
        <v>32</v>
      </c>
      <c r="AF32" s="6" t="s">
        <v>32</v>
      </c>
      <c r="AG32" s="6" t="s">
        <v>32</v>
      </c>
      <c r="AH32" s="6" t="s">
        <v>32</v>
      </c>
      <c r="AI32" s="118">
        <v>3</v>
      </c>
      <c r="AJ32" s="6"/>
      <c r="AK32" s="19"/>
      <c r="AL32" s="19"/>
      <c r="AM32" s="19"/>
      <c r="BF32" s="25"/>
    </row>
    <row r="33" spans="1:58" ht="20.149999999999999" customHeight="1">
      <c r="A33" s="18"/>
      <c r="B33" s="194"/>
      <c r="C33" s="194"/>
      <c r="F33" s="115"/>
      <c r="G33" s="115">
        <v>2</v>
      </c>
      <c r="H33" s="6" t="s">
        <v>32</v>
      </c>
      <c r="I33" s="6" t="s">
        <v>32</v>
      </c>
      <c r="J33" s="6" t="s">
        <v>32</v>
      </c>
      <c r="K33" s="6" t="s">
        <v>32</v>
      </c>
      <c r="L33" s="6" t="s">
        <v>32</v>
      </c>
      <c r="M33" s="6" t="s">
        <v>32</v>
      </c>
      <c r="N33" s="6" t="s">
        <v>32</v>
      </c>
      <c r="O33" s="6" t="s">
        <v>32</v>
      </c>
      <c r="P33" s="6" t="s">
        <v>32</v>
      </c>
      <c r="Q33" s="6" t="s">
        <v>32</v>
      </c>
      <c r="R33" s="6" t="s">
        <v>32</v>
      </c>
      <c r="S33" s="6" t="s">
        <v>32</v>
      </c>
      <c r="T33" s="6" t="s">
        <v>32</v>
      </c>
      <c r="U33" s="6" t="s">
        <v>32</v>
      </c>
      <c r="V33" s="6" t="s">
        <v>297</v>
      </c>
      <c r="W33" s="6" t="s">
        <v>32</v>
      </c>
      <c r="X33" s="6" t="s">
        <v>32</v>
      </c>
      <c r="Y33" s="6" t="s">
        <v>32</v>
      </c>
      <c r="Z33" s="6" t="s">
        <v>32</v>
      </c>
      <c r="AA33" s="6" t="s">
        <v>32</v>
      </c>
      <c r="AB33" s="6" t="s">
        <v>32</v>
      </c>
      <c r="AC33" s="6" t="s">
        <v>32</v>
      </c>
      <c r="AD33" s="6" t="s">
        <v>297</v>
      </c>
      <c r="AE33" s="6" t="s">
        <v>32</v>
      </c>
      <c r="AF33" s="6" t="s">
        <v>297</v>
      </c>
      <c r="AG33" s="6" t="s">
        <v>32</v>
      </c>
      <c r="AH33" s="6" t="s">
        <v>32</v>
      </c>
      <c r="AI33" s="118">
        <v>2</v>
      </c>
      <c r="AJ33" s="6"/>
      <c r="AK33" s="19"/>
      <c r="AL33" s="19"/>
      <c r="AM33" s="19"/>
      <c r="BF33" s="25"/>
    </row>
    <row r="34" spans="1:58" ht="20.149999999999999" customHeight="1">
      <c r="A34" s="18"/>
      <c r="B34" s="194"/>
      <c r="C34" s="194"/>
      <c r="F34" s="115"/>
      <c r="G34" s="115">
        <v>1</v>
      </c>
      <c r="H34" s="6" t="s">
        <v>32</v>
      </c>
      <c r="I34" s="6" t="s">
        <v>32</v>
      </c>
      <c r="J34" s="6" t="s">
        <v>32</v>
      </c>
      <c r="K34" s="6" t="s">
        <v>32</v>
      </c>
      <c r="L34" s="6" t="s">
        <v>32</v>
      </c>
      <c r="M34" s="6" t="s">
        <v>297</v>
      </c>
      <c r="N34" s="6" t="s">
        <v>297</v>
      </c>
      <c r="O34" s="6" t="s">
        <v>32</v>
      </c>
      <c r="P34" s="6" t="s">
        <v>297</v>
      </c>
      <c r="Q34" s="6" t="s">
        <v>297</v>
      </c>
      <c r="R34" s="6" t="s">
        <v>32</v>
      </c>
      <c r="S34" s="6" t="s">
        <v>32</v>
      </c>
      <c r="T34" s="6" t="s">
        <v>32</v>
      </c>
      <c r="U34" s="6" t="s">
        <v>32</v>
      </c>
      <c r="V34" s="6" t="s">
        <v>32</v>
      </c>
      <c r="W34" s="6" t="s">
        <v>32</v>
      </c>
      <c r="X34" s="6" t="s">
        <v>297</v>
      </c>
      <c r="Y34" s="6" t="s">
        <v>32</v>
      </c>
      <c r="Z34" s="6" t="s">
        <v>32</v>
      </c>
      <c r="AA34" s="6" t="s">
        <v>32</v>
      </c>
      <c r="AB34" s="6" t="s">
        <v>32</v>
      </c>
      <c r="AC34" s="6" t="s">
        <v>32</v>
      </c>
      <c r="AD34" s="6" t="s">
        <v>32</v>
      </c>
      <c r="AE34" s="6" t="s">
        <v>32</v>
      </c>
      <c r="AF34" s="6" t="s">
        <v>297</v>
      </c>
      <c r="AG34" s="6" t="s">
        <v>297</v>
      </c>
      <c r="AH34" s="6" t="s">
        <v>32</v>
      </c>
      <c r="AI34" s="118">
        <v>1</v>
      </c>
      <c r="AJ34" s="6"/>
      <c r="AK34" s="19"/>
      <c r="AL34" s="19"/>
      <c r="AM34" s="19"/>
      <c r="BF34" s="25"/>
    </row>
    <row r="35" spans="1:58" ht="20.149999999999999" customHeight="1">
      <c r="A35" s="18"/>
      <c r="B35" s="194"/>
      <c r="C35" s="194"/>
      <c r="F35" s="115"/>
      <c r="G35" s="115">
        <v>0</v>
      </c>
      <c r="H35" s="6" t="s">
        <v>32</v>
      </c>
      <c r="I35" s="6" t="s">
        <v>32</v>
      </c>
      <c r="J35" s="6" t="s">
        <v>32</v>
      </c>
      <c r="K35" s="6" t="s">
        <v>32</v>
      </c>
      <c r="L35" s="6" t="s">
        <v>32</v>
      </c>
      <c r="M35" s="6" t="s">
        <v>32</v>
      </c>
      <c r="N35" s="6" t="s">
        <v>32</v>
      </c>
      <c r="O35" s="6" t="s">
        <v>32</v>
      </c>
      <c r="P35" s="6" t="s">
        <v>32</v>
      </c>
      <c r="Q35" s="6" t="s">
        <v>32</v>
      </c>
      <c r="R35" s="6" t="s">
        <v>32</v>
      </c>
      <c r="S35" s="6" t="s">
        <v>32</v>
      </c>
      <c r="T35" s="6" t="s">
        <v>32</v>
      </c>
      <c r="U35" s="6" t="s">
        <v>32</v>
      </c>
      <c r="V35" s="6" t="s">
        <v>297</v>
      </c>
      <c r="W35" s="6" t="s">
        <v>32</v>
      </c>
      <c r="X35" s="6" t="s">
        <v>32</v>
      </c>
      <c r="Y35" s="6" t="s">
        <v>32</v>
      </c>
      <c r="Z35" s="6" t="s">
        <v>32</v>
      </c>
      <c r="AA35" s="6" t="s">
        <v>32</v>
      </c>
      <c r="AB35" s="6" t="s">
        <v>32</v>
      </c>
      <c r="AC35" s="6" t="s">
        <v>32</v>
      </c>
      <c r="AD35" s="6" t="s">
        <v>297</v>
      </c>
      <c r="AE35" s="6" t="s">
        <v>32</v>
      </c>
      <c r="AF35" s="6" t="s">
        <v>32</v>
      </c>
      <c r="AG35" s="6" t="s">
        <v>32</v>
      </c>
      <c r="AH35" s="6" t="s">
        <v>32</v>
      </c>
      <c r="AI35" s="118">
        <v>0</v>
      </c>
      <c r="AJ35" s="6"/>
      <c r="AK35" s="19"/>
      <c r="AL35" s="19"/>
      <c r="AM35" s="19"/>
      <c r="BF35" s="25"/>
    </row>
    <row r="36" spans="1:58" ht="20.149999999999999" customHeight="1">
      <c r="A36" s="18"/>
      <c r="B36" s="194"/>
      <c r="C36" s="194"/>
      <c r="F36" s="115"/>
      <c r="G36" s="115">
        <v>1</v>
      </c>
      <c r="H36" s="6" t="s">
        <v>32</v>
      </c>
      <c r="I36" s="6" t="s">
        <v>32</v>
      </c>
      <c r="J36" s="6" t="s">
        <v>32</v>
      </c>
      <c r="K36" s="6" t="s">
        <v>297</v>
      </c>
      <c r="L36" s="6" t="s">
        <v>32</v>
      </c>
      <c r="M36" s="6" t="s">
        <v>32</v>
      </c>
      <c r="N36" s="6" t="s">
        <v>297</v>
      </c>
      <c r="O36" s="6" t="s">
        <v>32</v>
      </c>
      <c r="P36" s="6" t="s">
        <v>297</v>
      </c>
      <c r="Q36" s="6" t="s">
        <v>32</v>
      </c>
      <c r="R36" s="6" t="s">
        <v>32</v>
      </c>
      <c r="S36" s="6" t="s">
        <v>32</v>
      </c>
      <c r="T36" s="6" t="s">
        <v>32</v>
      </c>
      <c r="U36" s="6" t="s">
        <v>32</v>
      </c>
      <c r="V36" s="6" t="s">
        <v>32</v>
      </c>
      <c r="W36" s="6" t="s">
        <v>32</v>
      </c>
      <c r="X36" s="6" t="s">
        <v>32</v>
      </c>
      <c r="Y36" s="6" t="s">
        <v>32</v>
      </c>
      <c r="Z36" s="6" t="s">
        <v>32</v>
      </c>
      <c r="AA36" s="6" t="s">
        <v>32</v>
      </c>
      <c r="AB36" s="6" t="s">
        <v>32</v>
      </c>
      <c r="AC36" s="6" t="s">
        <v>32</v>
      </c>
      <c r="AD36" s="6" t="s">
        <v>32</v>
      </c>
      <c r="AE36" s="6" t="s">
        <v>32</v>
      </c>
      <c r="AF36" s="6" t="s">
        <v>32</v>
      </c>
      <c r="AG36" s="6" t="s">
        <v>32</v>
      </c>
      <c r="AH36" s="6" t="s">
        <v>32</v>
      </c>
      <c r="AI36" s="115">
        <v>1</v>
      </c>
      <c r="AJ36" s="6"/>
      <c r="AK36" s="19"/>
      <c r="AL36" s="19"/>
      <c r="AM36" s="19"/>
      <c r="BF36" s="25"/>
    </row>
    <row r="37" spans="1:58" ht="20.149999999999999" customHeight="1">
      <c r="A37" s="18"/>
      <c r="B37" s="194"/>
      <c r="C37" s="194"/>
      <c r="F37" s="115"/>
      <c r="G37" s="115">
        <v>2</v>
      </c>
      <c r="H37" s="6" t="s">
        <v>32</v>
      </c>
      <c r="I37" s="6" t="s">
        <v>32</v>
      </c>
      <c r="J37" s="6" t="s">
        <v>32</v>
      </c>
      <c r="K37" s="6" t="s">
        <v>32</v>
      </c>
      <c r="L37" s="6" t="s">
        <v>32</v>
      </c>
      <c r="M37" s="6" t="s">
        <v>32</v>
      </c>
      <c r="N37" s="6" t="s">
        <v>32</v>
      </c>
      <c r="O37" s="6" t="s">
        <v>32</v>
      </c>
      <c r="P37" s="6" t="s">
        <v>32</v>
      </c>
      <c r="Q37" s="6" t="s">
        <v>32</v>
      </c>
      <c r="R37" s="6" t="s">
        <v>32</v>
      </c>
      <c r="S37" s="6" t="s">
        <v>32</v>
      </c>
      <c r="T37" s="6" t="s">
        <v>32</v>
      </c>
      <c r="U37" s="6" t="s">
        <v>32</v>
      </c>
      <c r="V37" s="6" t="s">
        <v>297</v>
      </c>
      <c r="W37" s="6" t="s">
        <v>32</v>
      </c>
      <c r="X37" s="6" t="s">
        <v>32</v>
      </c>
      <c r="Y37" s="6" t="s">
        <v>32</v>
      </c>
      <c r="Z37" s="6" t="s">
        <v>32</v>
      </c>
      <c r="AA37" s="6" t="s">
        <v>32</v>
      </c>
      <c r="AB37" s="6" t="s">
        <v>32</v>
      </c>
      <c r="AC37" s="6" t="s">
        <v>32</v>
      </c>
      <c r="AD37" s="6" t="s">
        <v>32</v>
      </c>
      <c r="AE37" s="6" t="s">
        <v>32</v>
      </c>
      <c r="AF37" s="6" t="s">
        <v>32</v>
      </c>
      <c r="AG37" s="6" t="s">
        <v>32</v>
      </c>
      <c r="AH37" s="6" t="s">
        <v>32</v>
      </c>
      <c r="AI37" s="115">
        <v>2</v>
      </c>
      <c r="AJ37" s="6"/>
      <c r="AK37" s="19"/>
      <c r="AL37" s="19"/>
      <c r="AM37" s="19"/>
      <c r="AO37" s="40"/>
      <c r="BF37" s="25"/>
    </row>
    <row r="38" spans="1:58" ht="20.149999999999999" customHeight="1">
      <c r="A38" s="18"/>
      <c r="B38" s="194"/>
      <c r="C38" s="194"/>
      <c r="F38" s="115"/>
      <c r="G38" s="115">
        <v>3</v>
      </c>
      <c r="H38" s="6" t="s">
        <v>32</v>
      </c>
      <c r="I38" s="6" t="s">
        <v>32</v>
      </c>
      <c r="J38" s="6" t="s">
        <v>32</v>
      </c>
      <c r="K38" s="6" t="s">
        <v>32</v>
      </c>
      <c r="L38" s="6" t="s">
        <v>32</v>
      </c>
      <c r="M38" s="6" t="s">
        <v>297</v>
      </c>
      <c r="N38" s="6" t="s">
        <v>32</v>
      </c>
      <c r="O38" s="6" t="s">
        <v>32</v>
      </c>
      <c r="P38" s="6" t="s">
        <v>32</v>
      </c>
      <c r="Q38" s="6" t="s">
        <v>32</v>
      </c>
      <c r="R38" s="6" t="s">
        <v>297</v>
      </c>
      <c r="S38" s="6" t="s">
        <v>297</v>
      </c>
      <c r="T38" s="6" t="s">
        <v>297</v>
      </c>
      <c r="U38" s="6" t="s">
        <v>32</v>
      </c>
      <c r="V38" s="6" t="s">
        <v>32</v>
      </c>
      <c r="W38" s="6" t="s">
        <v>297</v>
      </c>
      <c r="X38" s="6" t="s">
        <v>297</v>
      </c>
      <c r="Y38" s="6" t="s">
        <v>32</v>
      </c>
      <c r="Z38" s="6" t="s">
        <v>32</v>
      </c>
      <c r="AA38" s="6" t="s">
        <v>32</v>
      </c>
      <c r="AB38" s="6" t="s">
        <v>32</v>
      </c>
      <c r="AC38" s="6" t="s">
        <v>32</v>
      </c>
      <c r="AD38" s="6" t="s">
        <v>32</v>
      </c>
      <c r="AE38" s="6" t="s">
        <v>32</v>
      </c>
      <c r="AF38" s="6" t="s">
        <v>32</v>
      </c>
      <c r="AG38" s="6" t="s">
        <v>32</v>
      </c>
      <c r="AH38" s="6" t="s">
        <v>32</v>
      </c>
      <c r="AI38" s="115">
        <v>3</v>
      </c>
      <c r="AJ38" s="6"/>
      <c r="AK38" s="19"/>
      <c r="AL38" s="19"/>
      <c r="AM38" s="19"/>
      <c r="AO38" s="40"/>
      <c r="BF38" s="25"/>
    </row>
    <row r="39" spans="1:58" ht="20.149999999999999" customHeight="1">
      <c r="A39" s="18"/>
      <c r="B39" s="194"/>
      <c r="C39" s="194"/>
      <c r="F39" s="115"/>
      <c r="G39" s="115">
        <v>4</v>
      </c>
      <c r="H39" s="6" t="s">
        <v>32</v>
      </c>
      <c r="I39" s="6" t="s">
        <v>32</v>
      </c>
      <c r="J39" s="6" t="s">
        <v>32</v>
      </c>
      <c r="K39" s="6" t="s">
        <v>32</v>
      </c>
      <c r="L39" s="6" t="s">
        <v>32</v>
      </c>
      <c r="M39" s="6" t="s">
        <v>32</v>
      </c>
      <c r="N39" s="6" t="s">
        <v>32</v>
      </c>
      <c r="O39" s="6" t="s">
        <v>32</v>
      </c>
      <c r="P39" s="6" t="s">
        <v>32</v>
      </c>
      <c r="Q39" s="6" t="s">
        <v>32</v>
      </c>
      <c r="R39" s="6" t="s">
        <v>32</v>
      </c>
      <c r="S39" s="6" t="s">
        <v>32</v>
      </c>
      <c r="T39" s="6" t="s">
        <v>32</v>
      </c>
      <c r="U39" s="6" t="s">
        <v>32</v>
      </c>
      <c r="V39" s="6" t="s">
        <v>32</v>
      </c>
      <c r="W39" s="6" t="s">
        <v>32</v>
      </c>
      <c r="X39" s="6" t="s">
        <v>32</v>
      </c>
      <c r="Y39" s="6" t="s">
        <v>32</v>
      </c>
      <c r="Z39" s="6" t="s">
        <v>32</v>
      </c>
      <c r="AA39" s="6" t="s">
        <v>32</v>
      </c>
      <c r="AB39" s="6" t="s">
        <v>32</v>
      </c>
      <c r="AC39" s="6" t="s">
        <v>32</v>
      </c>
      <c r="AD39" s="6" t="s">
        <v>32</v>
      </c>
      <c r="AE39" s="6" t="s">
        <v>32</v>
      </c>
      <c r="AF39" s="6" t="s">
        <v>32</v>
      </c>
      <c r="AG39" s="6" t="s">
        <v>32</v>
      </c>
      <c r="AH39" s="6" t="s">
        <v>32</v>
      </c>
      <c r="AI39" s="118">
        <v>4</v>
      </c>
      <c r="AJ39" s="6"/>
      <c r="AK39" s="19"/>
      <c r="AL39" s="19"/>
      <c r="AM39" s="19"/>
      <c r="AO39" s="40"/>
      <c r="BF39" s="25"/>
    </row>
    <row r="40" spans="1:58" ht="20.149999999999999" customHeight="1">
      <c r="A40" s="18"/>
      <c r="B40" s="194"/>
      <c r="C40" s="194"/>
      <c r="F40" s="115"/>
      <c r="G40" s="115">
        <v>5</v>
      </c>
      <c r="H40" s="6" t="s">
        <v>32</v>
      </c>
      <c r="I40" s="6" t="s">
        <v>32</v>
      </c>
      <c r="J40" s="6" t="s">
        <v>32</v>
      </c>
      <c r="K40" s="6" t="s">
        <v>32</v>
      </c>
      <c r="L40" s="6" t="s">
        <v>32</v>
      </c>
      <c r="M40" s="6" t="s">
        <v>32</v>
      </c>
      <c r="N40" s="6" t="s">
        <v>32</v>
      </c>
      <c r="O40" s="6" t="s">
        <v>32</v>
      </c>
      <c r="P40" s="6" t="s">
        <v>32</v>
      </c>
      <c r="Q40" s="6" t="s">
        <v>32</v>
      </c>
      <c r="R40" s="6" t="s">
        <v>32</v>
      </c>
      <c r="S40" s="6" t="s">
        <v>32</v>
      </c>
      <c r="T40" s="6" t="s">
        <v>32</v>
      </c>
      <c r="U40" s="6" t="s">
        <v>32</v>
      </c>
      <c r="V40" s="6" t="s">
        <v>32</v>
      </c>
      <c r="W40" s="6" t="s">
        <v>32</v>
      </c>
      <c r="X40" s="6" t="s">
        <v>32</v>
      </c>
      <c r="Y40" s="6" t="s">
        <v>32</v>
      </c>
      <c r="Z40" s="6" t="s">
        <v>32</v>
      </c>
      <c r="AA40" s="6" t="s">
        <v>32</v>
      </c>
      <c r="AB40" s="6" t="s">
        <v>32</v>
      </c>
      <c r="AC40" s="6" t="s">
        <v>32</v>
      </c>
      <c r="AD40" s="6" t="s">
        <v>32</v>
      </c>
      <c r="AE40" s="6" t="s">
        <v>32</v>
      </c>
      <c r="AF40" s="6" t="s">
        <v>32</v>
      </c>
      <c r="AG40" s="6" t="s">
        <v>32</v>
      </c>
      <c r="AH40" s="6" t="s">
        <v>32</v>
      </c>
      <c r="AI40" s="118">
        <v>5</v>
      </c>
      <c r="AJ40" s="6"/>
      <c r="AK40" s="19"/>
      <c r="AL40" s="19"/>
      <c r="AM40" s="19"/>
      <c r="AO40" s="20"/>
      <c r="AP40" s="20"/>
      <c r="AQ40" s="20"/>
      <c r="AR40" s="20"/>
      <c r="AS40" s="218" t="s">
        <v>62</v>
      </c>
      <c r="AT40" s="218"/>
      <c r="AU40" s="218"/>
      <c r="AV40" s="218"/>
      <c r="AW40" s="218"/>
      <c r="AX40" s="218"/>
      <c r="AY40" s="218"/>
      <c r="AZ40" s="218">
        <v>35</v>
      </c>
      <c r="BA40" s="218"/>
      <c r="BB40" s="218"/>
      <c r="BC40" s="218"/>
      <c r="BD40" s="218"/>
      <c r="BE40" s="218"/>
      <c r="BF40" s="219"/>
    </row>
    <row r="41" spans="1:58" ht="20.149999999999999" customHeight="1">
      <c r="A41" s="18"/>
      <c r="B41" s="194"/>
      <c r="C41" s="194"/>
      <c r="F41" s="115"/>
      <c r="G41" s="115">
        <v>6</v>
      </c>
      <c r="H41" s="6" t="s">
        <v>32</v>
      </c>
      <c r="I41" s="6" t="s">
        <v>32</v>
      </c>
      <c r="J41" s="6" t="s">
        <v>32</v>
      </c>
      <c r="K41" s="6" t="s">
        <v>32</v>
      </c>
      <c r="L41" s="6" t="s">
        <v>32</v>
      </c>
      <c r="M41" s="6" t="s">
        <v>32</v>
      </c>
      <c r="N41" s="6" t="s">
        <v>32</v>
      </c>
      <c r="O41" s="6" t="s">
        <v>32</v>
      </c>
      <c r="P41" s="6" t="s">
        <v>32</v>
      </c>
      <c r="Q41" s="6" t="s">
        <v>32</v>
      </c>
      <c r="R41" s="6" t="s">
        <v>32</v>
      </c>
      <c r="S41" s="6" t="s">
        <v>32</v>
      </c>
      <c r="T41" s="6" t="s">
        <v>32</v>
      </c>
      <c r="U41" s="6" t="s">
        <v>32</v>
      </c>
      <c r="V41" s="6" t="s">
        <v>32</v>
      </c>
      <c r="W41" s="6" t="s">
        <v>32</v>
      </c>
      <c r="X41" s="6" t="s">
        <v>32</v>
      </c>
      <c r="Y41" s="6" t="s">
        <v>32</v>
      </c>
      <c r="Z41" s="6" t="s">
        <v>32</v>
      </c>
      <c r="AA41" s="6" t="s">
        <v>32</v>
      </c>
      <c r="AB41" s="6" t="s">
        <v>32</v>
      </c>
      <c r="AC41" s="6" t="s">
        <v>32</v>
      </c>
      <c r="AD41" s="6" t="s">
        <v>32</v>
      </c>
      <c r="AE41" s="6" t="s">
        <v>32</v>
      </c>
      <c r="AF41" s="6" t="s">
        <v>32</v>
      </c>
      <c r="AG41" s="6" t="s">
        <v>32</v>
      </c>
      <c r="AH41" s="6" t="s">
        <v>32</v>
      </c>
      <c r="AI41" s="115">
        <v>6</v>
      </c>
      <c r="AJ41" s="6"/>
      <c r="AK41" s="19"/>
      <c r="AL41" s="19"/>
      <c r="AM41" s="19"/>
      <c r="AO41" s="20"/>
      <c r="AP41" s="20"/>
      <c r="AQ41" s="20"/>
      <c r="AR41" s="20"/>
      <c r="AS41" s="218"/>
      <c r="AT41" s="218"/>
      <c r="AU41" s="218"/>
      <c r="AV41" s="218"/>
      <c r="AW41" s="218"/>
      <c r="AX41" s="218"/>
      <c r="AY41" s="218"/>
      <c r="AZ41" s="218"/>
      <c r="BA41" s="218"/>
      <c r="BB41" s="218"/>
      <c r="BC41" s="218"/>
      <c r="BD41" s="218"/>
      <c r="BE41" s="218"/>
      <c r="BF41" s="219"/>
    </row>
    <row r="42" spans="1:58" ht="20.149999999999999" customHeight="1">
      <c r="A42" s="18"/>
      <c r="F42" s="120"/>
      <c r="G42" s="120"/>
      <c r="H42" s="117">
        <v>-13</v>
      </c>
      <c r="I42" s="117">
        <v>-12</v>
      </c>
      <c r="J42" s="117">
        <v>-11</v>
      </c>
      <c r="K42" s="117">
        <v>-10</v>
      </c>
      <c r="L42" s="117">
        <v>-9</v>
      </c>
      <c r="M42" s="117">
        <v>-8</v>
      </c>
      <c r="N42" s="117">
        <v>-7</v>
      </c>
      <c r="O42" s="117">
        <v>-6</v>
      </c>
      <c r="P42" s="117">
        <v>-5</v>
      </c>
      <c r="Q42" s="117">
        <v>-4</v>
      </c>
      <c r="R42" s="117">
        <v>-3</v>
      </c>
      <c r="S42" s="118">
        <v>2</v>
      </c>
      <c r="T42" s="118">
        <v>1</v>
      </c>
      <c r="U42" s="118">
        <v>0</v>
      </c>
      <c r="V42" s="118">
        <v>1</v>
      </c>
      <c r="W42" s="118">
        <v>2</v>
      </c>
      <c r="X42" s="118">
        <v>3</v>
      </c>
      <c r="Y42" s="118">
        <v>4</v>
      </c>
      <c r="Z42" s="118">
        <v>5</v>
      </c>
      <c r="AA42" s="118">
        <v>6</v>
      </c>
      <c r="AB42" s="118">
        <v>7</v>
      </c>
      <c r="AC42" s="118">
        <v>8</v>
      </c>
      <c r="AD42" s="118">
        <v>9</v>
      </c>
      <c r="AE42" s="117">
        <v>10</v>
      </c>
      <c r="AF42" s="117">
        <v>11</v>
      </c>
      <c r="AG42" s="117">
        <v>12</v>
      </c>
      <c r="AH42" s="117">
        <v>13</v>
      </c>
      <c r="AI42" s="119"/>
      <c r="AJ42" s="117"/>
      <c r="AK42" s="19"/>
      <c r="AL42" s="19"/>
      <c r="AM42" s="19"/>
      <c r="AO42" s="27"/>
      <c r="AP42" s="27"/>
      <c r="AQ42" s="27"/>
      <c r="AR42" s="27"/>
      <c r="AS42" s="239" t="s">
        <v>145</v>
      </c>
      <c r="AT42" s="240"/>
      <c r="AU42" s="240"/>
      <c r="AV42" s="240"/>
      <c r="AW42" s="240"/>
      <c r="AX42" s="240"/>
      <c r="AY42" s="241"/>
      <c r="AZ42" s="218">
        <v>800</v>
      </c>
      <c r="BA42" s="218"/>
      <c r="BB42" s="218"/>
      <c r="BC42" s="218"/>
      <c r="BD42" s="218"/>
      <c r="BE42" s="218"/>
      <c r="BF42" s="219"/>
    </row>
    <row r="43" spans="1:58" ht="20.149999999999999" customHeight="1">
      <c r="A43" s="41"/>
      <c r="B43" s="29"/>
      <c r="C43" s="29"/>
      <c r="D43" s="29"/>
      <c r="E43" s="29"/>
      <c r="F43" s="42"/>
      <c r="G43" s="7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5"/>
      <c r="AK43" s="28"/>
      <c r="AL43" s="28"/>
      <c r="AM43" s="28"/>
      <c r="AN43" s="29"/>
      <c r="AO43" s="30"/>
      <c r="AP43" s="30"/>
      <c r="AQ43" s="30"/>
      <c r="AR43" s="46"/>
      <c r="AS43" s="242" t="s">
        <v>146</v>
      </c>
      <c r="AT43" s="243"/>
      <c r="AU43" s="243"/>
      <c r="AV43" s="243"/>
      <c r="AW43" s="243"/>
      <c r="AX43" s="243"/>
      <c r="AY43" s="244"/>
      <c r="AZ43" s="218"/>
      <c r="BA43" s="218"/>
      <c r="BB43" s="218"/>
      <c r="BC43" s="218"/>
      <c r="BD43" s="218"/>
      <c r="BE43" s="218"/>
      <c r="BF43" s="219"/>
    </row>
    <row r="44" spans="1:58" ht="19.25" customHeight="1">
      <c r="A44" s="47" t="s">
        <v>33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9"/>
      <c r="M44" s="49"/>
      <c r="N44" s="50"/>
      <c r="O44" s="50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50"/>
      <c r="AB44" s="49"/>
      <c r="AC44" s="51"/>
      <c r="AD44" s="52" t="s">
        <v>60</v>
      </c>
      <c r="AE44" s="53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37"/>
      <c r="AQ44" s="52"/>
      <c r="AR44" s="52"/>
      <c r="AS44" s="52"/>
      <c r="AT44" s="52"/>
      <c r="AU44" s="52"/>
      <c r="AV44" s="52"/>
      <c r="AW44" s="50"/>
      <c r="AX44" s="52"/>
      <c r="AY44" s="54"/>
      <c r="AZ44" s="32"/>
      <c r="BB44" s="22"/>
      <c r="BC44" s="55"/>
      <c r="BD44" s="55"/>
      <c r="BE44" s="55"/>
      <c r="BF44" s="56"/>
    </row>
    <row r="45" spans="1:58" ht="19.25" customHeight="1">
      <c r="A45" s="57" t="s">
        <v>59</v>
      </c>
      <c r="B45" s="50"/>
      <c r="C45" s="49"/>
      <c r="D45" s="198" t="str">
        <f>I3</f>
        <v>11A 809 605</v>
      </c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7" t="s">
        <v>140</v>
      </c>
      <c r="P45" s="197"/>
      <c r="Q45" s="197"/>
      <c r="R45" s="197"/>
      <c r="S45" s="197"/>
      <c r="T45" s="197"/>
      <c r="U45" s="197"/>
      <c r="V45" s="58"/>
      <c r="W45" s="58"/>
      <c r="X45" s="58"/>
      <c r="Y45" s="58"/>
      <c r="Z45" s="58"/>
      <c r="AA45" s="58"/>
      <c r="AB45" s="58"/>
      <c r="AC45" s="59"/>
      <c r="AD45" s="210" t="s">
        <v>251</v>
      </c>
      <c r="AE45" s="211"/>
      <c r="AF45" s="211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1"/>
      <c r="AR45" s="22"/>
      <c r="AS45" s="22"/>
      <c r="AT45" s="20"/>
      <c r="AU45" s="22"/>
      <c r="AV45" s="22"/>
      <c r="AW45" s="50"/>
      <c r="AX45" s="22"/>
      <c r="AY45" s="50"/>
      <c r="BB45" s="22"/>
      <c r="BC45" s="55"/>
      <c r="BD45" s="55"/>
      <c r="BE45" s="55"/>
      <c r="BF45" s="56"/>
    </row>
    <row r="46" spans="1:58" ht="19.25" customHeight="1">
      <c r="A46" s="60" t="s">
        <v>58</v>
      </c>
      <c r="B46" s="50"/>
      <c r="C46" s="61"/>
      <c r="D46" s="197" t="str">
        <f>I3</f>
        <v>11A 809 605</v>
      </c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 t="s">
        <v>141</v>
      </c>
      <c r="P46" s="197"/>
      <c r="Q46" s="197"/>
      <c r="R46" s="197"/>
      <c r="S46" s="197"/>
      <c r="T46" s="197"/>
      <c r="U46" s="197"/>
      <c r="V46" s="58"/>
      <c r="W46" s="58"/>
      <c r="X46" s="58"/>
      <c r="Y46" s="58"/>
      <c r="Z46" s="58"/>
      <c r="AA46" s="58"/>
      <c r="AB46" s="58"/>
      <c r="AC46" s="59"/>
      <c r="AD46" s="210" t="s">
        <v>301</v>
      </c>
      <c r="AE46" s="211"/>
      <c r="AF46" s="211"/>
      <c r="AG46" s="211"/>
      <c r="AH46" s="211"/>
      <c r="AI46" s="211"/>
      <c r="AJ46" s="211"/>
      <c r="AK46" s="211"/>
      <c r="AL46" s="211"/>
      <c r="AM46" s="211"/>
      <c r="AN46" s="211"/>
      <c r="AO46" s="211"/>
      <c r="AP46" s="211"/>
      <c r="AQ46" s="211"/>
      <c r="AR46" s="22"/>
      <c r="AS46" s="22"/>
      <c r="AT46" s="20"/>
      <c r="AU46" s="22"/>
      <c r="AV46" s="22"/>
      <c r="AW46" s="50"/>
      <c r="AX46" s="22"/>
      <c r="AY46" s="50"/>
      <c r="BB46" s="22"/>
      <c r="BC46" s="55"/>
      <c r="BD46" s="55"/>
      <c r="BE46" s="55"/>
      <c r="BF46" s="56"/>
    </row>
    <row r="47" spans="1:58" ht="19.25" customHeight="1">
      <c r="A47" s="60"/>
      <c r="B47" s="50"/>
      <c r="C47" s="61"/>
      <c r="D47" s="61"/>
      <c r="E47" s="61"/>
      <c r="F47" s="61"/>
      <c r="G47" s="61"/>
      <c r="H47" s="61"/>
      <c r="I47" s="50"/>
      <c r="J47" s="61"/>
      <c r="K47" s="61"/>
      <c r="L47" s="50"/>
      <c r="M47" s="61"/>
      <c r="N47" s="50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62"/>
      <c r="AD47" s="78"/>
      <c r="AE47" s="22"/>
      <c r="AF47" s="22"/>
      <c r="AG47" s="22"/>
      <c r="AH47" s="22"/>
      <c r="AI47" s="22"/>
      <c r="AJ47" s="20"/>
      <c r="AK47" s="22"/>
      <c r="AL47" s="22"/>
      <c r="AM47" s="22"/>
      <c r="AN47" s="22"/>
      <c r="AO47" s="22"/>
      <c r="AP47" s="22"/>
      <c r="AQ47" s="22"/>
      <c r="AR47" s="22"/>
      <c r="AS47" s="22"/>
      <c r="AT47" s="20"/>
      <c r="AU47" s="22"/>
      <c r="AV47" s="22"/>
      <c r="AW47" s="50"/>
      <c r="AX47" s="22"/>
      <c r="AY47" s="50"/>
      <c r="BB47" s="22"/>
      <c r="BC47" s="55"/>
      <c r="BD47" s="55"/>
      <c r="BE47" s="55"/>
      <c r="BF47" s="56"/>
    </row>
    <row r="48" spans="1:58" ht="19.25" customHeight="1">
      <c r="A48" s="47" t="s">
        <v>26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54"/>
      <c r="AB48" s="48"/>
      <c r="AC48" s="64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50"/>
      <c r="AT48" s="49"/>
      <c r="AU48" s="49"/>
      <c r="AV48" s="49"/>
      <c r="AW48" s="49"/>
      <c r="AX48" s="49"/>
      <c r="AY48" s="49"/>
      <c r="AZ48" s="55"/>
      <c r="BA48" s="55"/>
      <c r="BB48" s="55"/>
      <c r="BC48" s="55"/>
      <c r="BD48" s="55"/>
      <c r="BE48" s="55"/>
      <c r="BF48" s="56"/>
    </row>
    <row r="49" spans="1:58" ht="19.25" customHeight="1">
      <c r="A49" s="212" t="s">
        <v>261</v>
      </c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  <c r="AC49" s="214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50"/>
      <c r="AT49" s="49"/>
      <c r="AU49" s="49"/>
      <c r="AV49" s="49"/>
      <c r="AW49" s="49"/>
      <c r="AX49" s="49"/>
      <c r="AY49" s="49"/>
      <c r="AZ49" s="55"/>
      <c r="BA49" s="55"/>
      <c r="BB49" s="55"/>
      <c r="BC49" s="55"/>
      <c r="BD49" s="55"/>
      <c r="BE49" s="55"/>
      <c r="BF49" s="56"/>
    </row>
    <row r="50" spans="1:58" ht="19.25" customHeight="1">
      <c r="A50" s="215" t="s">
        <v>265</v>
      </c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6"/>
      <c r="AD50" s="50"/>
      <c r="AE50" s="50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50"/>
      <c r="AU50" s="50"/>
      <c r="AV50" s="50"/>
      <c r="AW50" s="50"/>
      <c r="AX50" s="50"/>
      <c r="AY50" s="50"/>
      <c r="BB50" s="55"/>
      <c r="BC50" s="55"/>
      <c r="BD50" s="55"/>
      <c r="BE50" s="55"/>
      <c r="BF50" s="56"/>
    </row>
    <row r="51" spans="1:58" ht="19.25" customHeight="1">
      <c r="A51" s="60"/>
      <c r="B51" s="27"/>
      <c r="C51" s="22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65"/>
      <c r="AD51" s="50"/>
      <c r="AE51" s="50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50"/>
      <c r="AU51" s="50"/>
      <c r="AV51" s="50"/>
      <c r="AW51" s="50"/>
      <c r="AX51" s="50"/>
      <c r="AY51" s="50"/>
      <c r="BB51" s="55"/>
      <c r="BC51" s="55"/>
      <c r="BD51" s="55"/>
      <c r="BE51" s="55"/>
      <c r="BF51" s="56"/>
    </row>
    <row r="52" spans="1:58" ht="19.25" customHeight="1">
      <c r="A52" s="66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65"/>
      <c r="AD52" s="218" t="s">
        <v>27</v>
      </c>
      <c r="AE52" s="218"/>
      <c r="AF52" s="218"/>
      <c r="AG52" s="218"/>
      <c r="AH52" s="218"/>
      <c r="AI52" s="218"/>
      <c r="AJ52" s="218"/>
      <c r="AK52" s="218"/>
      <c r="AL52" s="218" t="s">
        <v>253</v>
      </c>
      <c r="AM52" s="218"/>
      <c r="AN52" s="218"/>
      <c r="AO52" s="218"/>
      <c r="AP52" s="218"/>
      <c r="AQ52" s="218"/>
      <c r="AR52" s="218"/>
      <c r="AS52" s="218" t="s">
        <v>28</v>
      </c>
      <c r="AT52" s="218"/>
      <c r="AU52" s="218"/>
      <c r="AV52" s="218"/>
      <c r="AW52" s="218"/>
      <c r="AX52" s="218"/>
      <c r="AY52" s="218"/>
      <c r="AZ52" s="231">
        <v>14</v>
      </c>
      <c r="BA52" s="232"/>
      <c r="BB52" s="232"/>
      <c r="BC52" s="232"/>
      <c r="BD52" s="232"/>
      <c r="BE52" s="232" t="s">
        <v>55</v>
      </c>
      <c r="BF52" s="235"/>
    </row>
    <row r="53" spans="1:58" ht="19.25" customHeight="1">
      <c r="A53" s="67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6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8"/>
      <c r="AY53" s="218"/>
      <c r="AZ53" s="233"/>
      <c r="BA53" s="234"/>
      <c r="BB53" s="234"/>
      <c r="BC53" s="234"/>
      <c r="BD53" s="234"/>
      <c r="BE53" s="234"/>
      <c r="BF53" s="236"/>
    </row>
    <row r="54" spans="1:58" s="20" customFormat="1" ht="27" customHeight="1" thickBot="1">
      <c r="A54" s="11"/>
      <c r="B54" s="12" t="s">
        <v>29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2" t="s">
        <v>30</v>
      </c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2" t="s">
        <v>31</v>
      </c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4"/>
      <c r="BA54" s="14"/>
      <c r="BB54" s="14"/>
      <c r="BC54" s="14"/>
      <c r="BD54" s="13"/>
      <c r="BE54" s="13"/>
      <c r="BF54" s="15"/>
    </row>
    <row r="55" spans="1:58">
      <c r="A55" s="1" t="s">
        <v>263</v>
      </c>
    </row>
  </sheetData>
  <protectedRanges>
    <protectedRange sqref="AZ1:BF3 I3 W3 AL3 AS5:BC9 AZ40 AZ42 AL52 AZ52 AD44:BF45 AX12 BA29 AD47:BF51 AR46:BF46" name="区域1"/>
    <protectedRange sqref="AS10" name="区域3"/>
    <protectedRange sqref="I5:AC6" name="区域1_2"/>
    <protectedRange sqref="I7:I8" name="区域1_3"/>
    <protectedRange sqref="I9:I10" name="区域1_4"/>
    <protectedRange sqref="AD46:AQ46" name="区域1_1"/>
    <protectedRange sqref="H12:AH26" name="区域1_5"/>
  </protectedRanges>
  <dataConsolidate/>
  <mergeCells count="100">
    <mergeCell ref="AS52:AY53"/>
    <mergeCell ref="AZ52:BD53"/>
    <mergeCell ref="BE52:BF53"/>
    <mergeCell ref="D46:N46"/>
    <mergeCell ref="O46:U46"/>
    <mergeCell ref="AD46:AQ46"/>
    <mergeCell ref="A49:AC49"/>
    <mergeCell ref="A50:AC50"/>
    <mergeCell ref="AD52:AK53"/>
    <mergeCell ref="AL52:AR53"/>
    <mergeCell ref="AS42:AY42"/>
    <mergeCell ref="AZ42:BF43"/>
    <mergeCell ref="AS43:AY43"/>
    <mergeCell ref="D45:N45"/>
    <mergeCell ref="O45:U45"/>
    <mergeCell ref="AD45:AQ45"/>
    <mergeCell ref="B31:C41"/>
    <mergeCell ref="AS40:AY41"/>
    <mergeCell ref="G27:H27"/>
    <mergeCell ref="I27:J27"/>
    <mergeCell ref="K27:L27"/>
    <mergeCell ref="M27:N27"/>
    <mergeCell ref="O27:P27"/>
    <mergeCell ref="AZ40:BF41"/>
    <mergeCell ref="Q27:R27"/>
    <mergeCell ref="S27:T27"/>
    <mergeCell ref="V27:W27"/>
    <mergeCell ref="X27:Y27"/>
    <mergeCell ref="Z27:AA27"/>
    <mergeCell ref="AB27:AC27"/>
    <mergeCell ref="AD27:AE27"/>
    <mergeCell ref="AF27:AG27"/>
    <mergeCell ref="AH27:AI27"/>
    <mergeCell ref="AH11:AI11"/>
    <mergeCell ref="B13:C24"/>
    <mergeCell ref="AM16:AM18"/>
    <mergeCell ref="AM19:AM23"/>
    <mergeCell ref="S11:T11"/>
    <mergeCell ref="V11:W11"/>
    <mergeCell ref="X11:Y11"/>
    <mergeCell ref="Z11:AA11"/>
    <mergeCell ref="AB11:AC11"/>
    <mergeCell ref="AD11:AE11"/>
    <mergeCell ref="G11:H11"/>
    <mergeCell ref="I11:J11"/>
    <mergeCell ref="K11:L11"/>
    <mergeCell ref="M11:N11"/>
    <mergeCell ref="O11:P11"/>
    <mergeCell ref="Q11:R11"/>
    <mergeCell ref="BD9:BF9"/>
    <mergeCell ref="A10:H10"/>
    <mergeCell ref="I10:R10"/>
    <mergeCell ref="S10:AA10"/>
    <mergeCell ref="AB10:AC10"/>
    <mergeCell ref="AD10:AR10"/>
    <mergeCell ref="AS10:BC10"/>
    <mergeCell ref="BD10:BF10"/>
    <mergeCell ref="A9:H9"/>
    <mergeCell ref="I9:R9"/>
    <mergeCell ref="S9:AA9"/>
    <mergeCell ref="AB9:AC9"/>
    <mergeCell ref="AD9:AR9"/>
    <mergeCell ref="AS9:BC9"/>
    <mergeCell ref="AF11:AG11"/>
    <mergeCell ref="I6:AC6"/>
    <mergeCell ref="A3:H3"/>
    <mergeCell ref="I3:O3"/>
    <mergeCell ref="BD8:BF8"/>
    <mergeCell ref="A7:H7"/>
    <mergeCell ref="I7:AA7"/>
    <mergeCell ref="AB7:AC7"/>
    <mergeCell ref="AD7:AR7"/>
    <mergeCell ref="AS7:BC7"/>
    <mergeCell ref="BD7:BF7"/>
    <mergeCell ref="A8:H8"/>
    <mergeCell ref="I8:AA8"/>
    <mergeCell ref="AB8:AC8"/>
    <mergeCell ref="AD8:AR8"/>
    <mergeCell ref="AS8:BC8"/>
    <mergeCell ref="AZ1:BF1"/>
    <mergeCell ref="AS2:AY2"/>
    <mergeCell ref="AZ2:BF2"/>
    <mergeCell ref="A6:H6"/>
    <mergeCell ref="AD6:AR6"/>
    <mergeCell ref="AS6:BC6"/>
    <mergeCell ref="BD6:BF6"/>
    <mergeCell ref="AL3:AR3"/>
    <mergeCell ref="AS3:AY3"/>
    <mergeCell ref="AZ3:BF3"/>
    <mergeCell ref="A4:BF4"/>
    <mergeCell ref="A5:H5"/>
    <mergeCell ref="AD5:AR5"/>
    <mergeCell ref="AS5:BC5"/>
    <mergeCell ref="BD5:BF5"/>
    <mergeCell ref="I5:AC5"/>
    <mergeCell ref="P3:V3"/>
    <mergeCell ref="W3:AC3"/>
    <mergeCell ref="AD3:AK3"/>
    <mergeCell ref="A1:AR2"/>
    <mergeCell ref="AS1:AY1"/>
  </mergeCells>
  <phoneticPr fontId="2" type="noConversion"/>
  <conditionalFormatting sqref="I7:AA8">
    <cfRule type="containsBlanks" dxfId="18" priority="33">
      <formula>LEN(TRIM(I7))=0</formula>
    </cfRule>
  </conditionalFormatting>
  <conditionalFormatting sqref="I5:AC5">
    <cfRule type="containsBlanks" dxfId="17" priority="34">
      <formula>LEN(TRIM(I5))=0</formula>
    </cfRule>
  </conditionalFormatting>
  <conditionalFormatting sqref="I6:AC6">
    <cfRule type="containsBlanks" dxfId="16" priority="35">
      <formula>LEN(TRIM(I6))=0</formula>
    </cfRule>
  </conditionalFormatting>
  <conditionalFormatting sqref="N18">
    <cfRule type="expression" dxfId="15" priority="16">
      <formula>AND($AZ$2&lt;&gt;"4-100")</formula>
    </cfRule>
  </conditionalFormatting>
  <conditionalFormatting sqref="N19">
    <cfRule type="expression" dxfId="14" priority="13">
      <formula>AND($AZ$2&lt;&gt;"4-100")</formula>
    </cfRule>
  </conditionalFormatting>
  <conditionalFormatting sqref="N20">
    <cfRule type="expression" dxfId="13" priority="12">
      <formula>AND($AZ$2&lt;&gt;"4-100")</formula>
    </cfRule>
  </conditionalFormatting>
  <conditionalFormatting sqref="O18:R18">
    <cfRule type="expression" dxfId="12" priority="15">
      <formula>AND($AZ$2&lt;&gt;"4-100")</formula>
    </cfRule>
  </conditionalFormatting>
  <conditionalFormatting sqref="O20:R20">
    <cfRule type="expression" dxfId="11" priority="11">
      <formula>AND($AZ$2&lt;&gt;"4-100")</formula>
    </cfRule>
  </conditionalFormatting>
  <conditionalFormatting sqref="S18">
    <cfRule type="expression" dxfId="10" priority="14">
      <formula>AND($AZ$2&lt;&gt;"4-100")</formula>
    </cfRule>
  </conditionalFormatting>
  <conditionalFormatting sqref="S19">
    <cfRule type="expression" dxfId="9" priority="9">
      <formula>AND($AZ$2&lt;&gt;"4-100")</formula>
    </cfRule>
  </conditionalFormatting>
  <conditionalFormatting sqref="S20">
    <cfRule type="expression" dxfId="8" priority="10">
      <formula>AND($AZ$2&lt;&gt;"4-100")</formula>
    </cfRule>
  </conditionalFormatting>
  <conditionalFormatting sqref="W18">
    <cfRule type="expression" dxfId="7" priority="8">
      <formula>AND($AZ$2&lt;&gt;"4-100")</formula>
    </cfRule>
  </conditionalFormatting>
  <conditionalFormatting sqref="W19">
    <cfRule type="expression" dxfId="6" priority="5">
      <formula>AND($AZ$2&lt;&gt;"4-100")</formula>
    </cfRule>
  </conditionalFormatting>
  <conditionalFormatting sqref="W20">
    <cfRule type="expression" dxfId="5" priority="4">
      <formula>AND($AZ$2&lt;&gt;"4-100")</formula>
    </cfRule>
  </conditionalFormatting>
  <conditionalFormatting sqref="X18:AA18">
    <cfRule type="expression" dxfId="4" priority="7">
      <formula>AND($AZ$2&lt;&gt;"4-100")</formula>
    </cfRule>
  </conditionalFormatting>
  <conditionalFormatting sqref="X20:AA20">
    <cfRule type="expression" dxfId="3" priority="3">
      <formula>AND($AZ$2&lt;&gt;"4-100")</formula>
    </cfRule>
  </conditionalFormatting>
  <conditionalFormatting sqref="AB18">
    <cfRule type="expression" dxfId="2" priority="6">
      <formula>AND($AZ$2&lt;&gt;"4-100")</formula>
    </cfRule>
  </conditionalFormatting>
  <conditionalFormatting sqref="AB19">
    <cfRule type="expression" dxfId="1" priority="1">
      <formula>AND($AZ$2&lt;&gt;"4-100")</formula>
    </cfRule>
  </conditionalFormatting>
  <conditionalFormatting sqref="AB20">
    <cfRule type="expression" dxfId="0" priority="2">
      <formula>AND($AZ$2&lt;&gt;"4-100")</formula>
    </cfRule>
  </conditionalFormatting>
  <dataValidations count="9">
    <dataValidation type="list" allowBlank="1" showInputMessage="1" showErrorMessage="1" sqref="BD10:BF10" xr:uid="{00000000-0002-0000-0400-000000000000}">
      <formula1>$BP$2:$BP$3</formula1>
    </dataValidation>
    <dataValidation type="list" allowBlank="1" showInputMessage="1" showErrorMessage="1" sqref="AL52:AR53" xr:uid="{00000000-0002-0000-0400-000001000000}">
      <formula1>$BO$2:$BO$6</formula1>
    </dataValidation>
    <dataValidation type="list" allowBlank="1" showInputMessage="1" showErrorMessage="1" sqref="AS43:AY43" xr:uid="{00000000-0002-0000-0400-000002000000}">
      <formula1>$BM$2:$BM$4</formula1>
    </dataValidation>
    <dataValidation type="list" allowBlank="1" showInputMessage="1" showErrorMessage="1" sqref="O45:U46" xr:uid="{00000000-0002-0000-0400-000003000000}">
      <formula1>$BL$2:$BL$8</formula1>
    </dataValidation>
    <dataValidation type="list" allowBlank="1" showInputMessage="1" showErrorMessage="1" sqref="AZ3:BF3" xr:uid="{00000000-0002-0000-0400-000004000000}">
      <formula1>$BK$2:$BK$7</formula1>
    </dataValidation>
    <dataValidation type="list" allowBlank="1" showInputMessage="1" showErrorMessage="1" sqref="AS5:BC5" xr:uid="{00000000-0002-0000-0400-000005000000}">
      <formula1>$BJ$2:$BJ$3</formula1>
    </dataValidation>
    <dataValidation type="list" allowBlank="1" showInputMessage="1" showErrorMessage="1" sqref="AZ2:BF2" xr:uid="{00000000-0002-0000-0400-000006000000}">
      <formula1>$BH$2:$BH$9</formula1>
    </dataValidation>
    <dataValidation type="list" allowBlank="1" showInputMessage="1" showErrorMessage="1" sqref="I6:AC6" xr:uid="{00000000-0002-0000-0400-000007000000}">
      <formula1>$BN$2:$BN$12</formula1>
    </dataValidation>
    <dataValidation type="list" allowBlank="1" showInputMessage="1" showErrorMessage="1" sqref="F30:I42 O41:O42 J30:J31 Y41:Y42 AC39:AC42 L30:O31 Z39:Z42 J41:J42 S30:S31 T30:T42 AB38:AB42 U30:U31 L38:L42 M40:M42 Y30:AB31 AA40:AA42 AE30:AG42 AD30:AD31 K30:K32 P30:P42 Q30:R32 AC30:AC32 X30:X42 V30:W32 S33:S34 R34:R42 Q34 K39:K42 M33:O34 K34 U33:U34 V34:V42 W34 N39:N42 Y33:AA34 AC34 S41:S42 N36:O36 L33:L36 U41:U42 Y36:Z36 AB33:AB36 K36:K37 Q41:Q42 W41:W42 AC36:AC37 AD41:AD42 M36:M38 Q37:Q38 AA36:AA38 S36:S39 O38:O39 J33:J39 U36:U39 Y38:Y39 AD33:AD39 W37:W38" xr:uid="{00000000-0002-0000-0400-000008000000}">
      <formula1>$BS$2:$BS$4</formula1>
    </dataValidation>
  </dataValidations>
  <printOptions horizontalCentered="1" verticalCentered="1"/>
  <pageMargins left="0.35433070866141736" right="0.35433070866141736" top="0.43307086614173229" bottom="0.47244094488188981" header="0.31496062992125984" footer="0.27559055118110237"/>
  <pageSetup paperSize="9"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（单动-高速压机OP20）</vt:lpstr>
      <vt:lpstr>单动-高速压机OP30</vt:lpstr>
      <vt:lpstr>单动-高速压机OP40</vt:lpstr>
      <vt:lpstr>单动-高速压机OP50</vt:lpstr>
      <vt:lpstr>单动-高速压机OP60</vt:lpstr>
      <vt:lpstr>'（单动-高速压机OP20）'!Print_Area</vt:lpstr>
      <vt:lpstr>'单动-高速压机OP30'!Print_Area</vt:lpstr>
      <vt:lpstr>'单动-高速压机OP40'!Print_Area</vt:lpstr>
      <vt:lpstr>'单动-高速压机OP50'!Print_Area</vt:lpstr>
      <vt:lpstr>'单动-高速压机OP60'!Print_Area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jirong</dc:creator>
  <cp:lastModifiedBy>y Y</cp:lastModifiedBy>
  <cp:lastPrinted>2022-11-15T07:13:32Z</cp:lastPrinted>
  <dcterms:created xsi:type="dcterms:W3CDTF">2016-06-02T13:49:54Z</dcterms:created>
  <dcterms:modified xsi:type="dcterms:W3CDTF">2024-02-26T04:54:00Z</dcterms:modified>
</cp:coreProperties>
</file>