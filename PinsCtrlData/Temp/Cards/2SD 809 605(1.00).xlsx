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long2\Desktop\新项目工艺卡\polonf-T-coss\重新制作\Polo NF\正式工艺\5-100\左侧围\"/>
    </mc:Choice>
  </mc:AlternateContent>
  <bookViews>
    <workbookView xWindow="375" yWindow="5655" windowWidth="18825" windowHeight="3330" tabRatio="712" activeTab="5"/>
  </bookViews>
  <sheets>
    <sheet name="（单动-高速压机OP20）" sheetId="23" r:id="rId1"/>
    <sheet name="单动-高速压机OP30" sheetId="26" r:id="rId2"/>
    <sheet name="单动-高速压机OP40" sheetId="27" r:id="rId3"/>
    <sheet name="单动-高速压机OP50" sheetId="28" r:id="rId4"/>
    <sheet name="单动-高速压机OP60" sheetId="29" r:id="rId5"/>
    <sheet name="单动-高速压机OP70" sheetId="32" r:id="rId6"/>
  </sheets>
  <definedNames>
    <definedName name="_xlnm.Print_Area" localSheetId="0">'（单动-高速压机OP20）'!$A$1:$BF$61</definedName>
    <definedName name="_xlnm.Print_Area" localSheetId="1">'单动-高速压机OP30'!$A$1:$BF$56</definedName>
    <definedName name="_xlnm.Print_Area" localSheetId="2">'单动-高速压机OP40'!$A$1:$BF$56</definedName>
    <definedName name="_xlnm.Print_Area" localSheetId="3">'单动-高速压机OP50'!$A$1:$BF$56</definedName>
    <definedName name="_xlnm.Print_Area" localSheetId="4">'单动-高速压机OP60'!$A$1:$BF$56</definedName>
    <definedName name="_xlnm.Print_Area" localSheetId="5">'单动-高速压机OP70'!$A$1:$BF$56</definedName>
  </definedNames>
  <calcPr calcId="162913"/>
</workbook>
</file>

<file path=xl/calcChain.xml><?xml version="1.0" encoding="utf-8"?>
<calcChain xmlns="http://schemas.openxmlformats.org/spreadsheetml/2006/main">
  <c r="AS44" i="32" l="1"/>
  <c r="AS9" i="32"/>
  <c r="AS5" i="32"/>
  <c r="AZ1" i="32"/>
  <c r="D52" i="23" l="1"/>
  <c r="D46" i="26" l="1"/>
  <c r="D46" i="27" s="1"/>
  <c r="AZ1" i="26"/>
  <c r="AZ1" i="27" s="1"/>
  <c r="AZ1" i="28" s="1"/>
  <c r="AL3" i="26"/>
  <c r="AL3" i="27" s="1"/>
  <c r="AL3" i="28" s="1"/>
  <c r="AL3" i="32" s="1"/>
  <c r="W3" i="26"/>
  <c r="W3" i="27" s="1"/>
  <c r="W3" i="28" s="1"/>
  <c r="W3" i="32" s="1"/>
  <c r="I3" i="26"/>
  <c r="I3" i="27" s="1"/>
  <c r="I3" i="28" s="1"/>
  <c r="I3" i="32" s="1"/>
  <c r="AS44" i="29"/>
  <c r="AS9" i="29"/>
  <c r="AS5" i="29"/>
  <c r="AS44" i="28"/>
  <c r="AS9" i="28"/>
  <c r="AS5" i="28"/>
  <c r="AS44" i="27"/>
  <c r="AS9" i="27"/>
  <c r="AS5" i="27"/>
  <c r="D46" i="28" l="1"/>
  <c r="D46" i="32" s="1"/>
  <c r="D47" i="32" s="1"/>
  <c r="D47" i="27"/>
  <c r="D47" i="26"/>
  <c r="AL3" i="29"/>
  <c r="W3" i="29"/>
  <c r="I3" i="29"/>
  <c r="AZ1" i="29"/>
  <c r="AS49" i="23"/>
  <c r="AS44" i="26"/>
  <c r="D46" i="29" l="1"/>
  <c r="D47" i="29" s="1"/>
  <c r="D47" i="28"/>
  <c r="AS9" i="26"/>
  <c r="AS5" i="26" l="1"/>
  <c r="AS10" i="23"/>
  <c r="AS14" i="23"/>
</calcChain>
</file>

<file path=xl/sharedStrings.xml><?xml version="1.0" encoding="utf-8"?>
<sst xmlns="http://schemas.openxmlformats.org/spreadsheetml/2006/main" count="3560" uniqueCount="289">
  <si>
    <t>版本</t>
  </si>
  <si>
    <t>零件号</t>
  </si>
  <si>
    <t>零件名称</t>
  </si>
  <si>
    <t>工序号</t>
  </si>
  <si>
    <t>本工序模具参数</t>
    <phoneticPr fontId="5" type="noConversion"/>
  </si>
  <si>
    <t>模具编号</t>
    <phoneticPr fontId="5" type="noConversion"/>
  </si>
  <si>
    <t xml:space="preserve">                      压机
形式        </t>
    <phoneticPr fontId="5" type="noConversion"/>
  </si>
  <si>
    <t>模具名称</t>
    <phoneticPr fontId="5" type="noConversion"/>
  </si>
  <si>
    <t>/</t>
    <phoneticPr fontId="5" type="noConversion"/>
  </si>
  <si>
    <t>模具总重量</t>
    <phoneticPr fontId="5" type="noConversion"/>
  </si>
  <si>
    <t xml:space="preserve">T </t>
    <phoneticPr fontId="5" type="noConversion"/>
  </si>
  <si>
    <t>上模重量</t>
    <phoneticPr fontId="5" type="noConversion"/>
  </si>
  <si>
    <t>撑头形式及数量</t>
    <phoneticPr fontId="5" type="noConversion"/>
  </si>
  <si>
    <t>闭合高度</t>
    <phoneticPr fontId="5" type="noConversion"/>
  </si>
  <si>
    <t>装模高度</t>
    <phoneticPr fontId="5" type="noConversion"/>
  </si>
  <si>
    <t>图例</t>
    <phoneticPr fontId="5" type="noConversion"/>
  </si>
  <si>
    <t>◎</t>
    <phoneticPr fontId="5" type="noConversion"/>
  </si>
  <si>
    <t>定位销</t>
    <phoneticPr fontId="5" type="noConversion"/>
  </si>
  <si>
    <t>●</t>
    <phoneticPr fontId="5" type="noConversion"/>
  </si>
  <si>
    <t>顶棒</t>
    <phoneticPr fontId="5" type="noConversion"/>
  </si>
  <si>
    <t>↑</t>
    <phoneticPr fontId="5" type="noConversion"/>
  </si>
  <si>
    <t>图例</t>
  </si>
  <si>
    <t>顶棒</t>
  </si>
  <si>
    <t xml:space="preserve">滑块气垫顶棒分布图
</t>
    <phoneticPr fontId="5" type="noConversion"/>
  </si>
  <si>
    <t>滑块顶棒数量</t>
    <phoneticPr fontId="5" type="noConversion"/>
  </si>
  <si>
    <t>备注</t>
    <phoneticPr fontId="5" type="noConversion"/>
  </si>
  <si>
    <t>本工序的操作方法</t>
    <phoneticPr fontId="5" type="noConversion"/>
  </si>
  <si>
    <t>产品装箱型号</t>
  </si>
  <si>
    <t>装箱数</t>
  </si>
  <si>
    <t>编制：</t>
    <phoneticPr fontId="5" type="noConversion"/>
  </si>
  <si>
    <t>审核：</t>
    <phoneticPr fontId="5" type="noConversion"/>
  </si>
  <si>
    <t>批准：</t>
    <phoneticPr fontId="5" type="noConversion"/>
  </si>
  <si>
    <t>○</t>
  </si>
  <si>
    <t>本工序使用的工装</t>
    <phoneticPr fontId="5" type="noConversion"/>
  </si>
  <si>
    <t xml:space="preserve">使用压机吨位 </t>
    <phoneticPr fontId="5" type="noConversion"/>
  </si>
  <si>
    <t>压机平衡缸压力</t>
    <phoneticPr fontId="5" type="noConversion"/>
  </si>
  <si>
    <t>生产线</t>
    <phoneticPr fontId="5" type="noConversion"/>
  </si>
  <si>
    <t>上料手</t>
    <phoneticPr fontId="2" type="noConversion"/>
  </si>
  <si>
    <t>下料手</t>
    <phoneticPr fontId="2" type="noConversion"/>
  </si>
  <si>
    <t>本工序用料情况</t>
    <phoneticPr fontId="2" type="noConversion"/>
  </si>
  <si>
    <t>原材料规格</t>
  </si>
  <si>
    <t>材料牌号</t>
  </si>
  <si>
    <t>已认可供货商</t>
    <phoneticPr fontId="2" type="noConversion"/>
  </si>
  <si>
    <t>料片架堆料定位图</t>
    <phoneticPr fontId="2" type="noConversion"/>
  </si>
  <si>
    <t>↑</t>
  </si>
  <si>
    <t>送
料方向</t>
    <phoneticPr fontId="2" type="noConversion"/>
  </si>
  <si>
    <t>T</t>
    <phoneticPr fontId="2" type="noConversion"/>
  </si>
  <si>
    <t>是否使用闭锁</t>
    <phoneticPr fontId="2" type="noConversion"/>
  </si>
  <si>
    <t>送料方向</t>
    <phoneticPr fontId="2" type="noConversion"/>
  </si>
  <si>
    <t>上模夹紧形式及数量</t>
    <phoneticPr fontId="5" type="noConversion"/>
  </si>
  <si>
    <t>下模夹紧形式及数量</t>
    <phoneticPr fontId="5" type="noConversion"/>
  </si>
  <si>
    <t>拉伸垫顶棒数量</t>
    <phoneticPr fontId="2" type="noConversion"/>
  </si>
  <si>
    <t>批准：</t>
    <phoneticPr fontId="5" type="noConversion"/>
  </si>
  <si>
    <t>审核：</t>
    <phoneticPr fontId="5" type="noConversion"/>
  </si>
  <si>
    <t>编制：</t>
    <phoneticPr fontId="5" type="noConversion"/>
  </si>
  <si>
    <t>件</t>
    <phoneticPr fontId="5" type="noConversion"/>
  </si>
  <si>
    <t>/</t>
    <phoneticPr fontId="5" type="noConversion"/>
  </si>
  <si>
    <t>本工序的操作方法</t>
    <phoneticPr fontId="5" type="noConversion"/>
  </si>
  <si>
    <t>下料手</t>
    <phoneticPr fontId="2" type="noConversion"/>
  </si>
  <si>
    <t>上料手</t>
    <phoneticPr fontId="2" type="noConversion"/>
  </si>
  <si>
    <t>备注</t>
    <phoneticPr fontId="5" type="noConversion"/>
  </si>
  <si>
    <t>本工序使用的工装</t>
    <phoneticPr fontId="5" type="noConversion"/>
  </si>
  <si>
    <t>滑块顶棒数量</t>
    <phoneticPr fontId="5" type="noConversion"/>
  </si>
  <si>
    <t xml:space="preserve">滑块气垫顶棒分布图
</t>
    <phoneticPr fontId="5" type="noConversion"/>
  </si>
  <si>
    <t>●</t>
    <phoneticPr fontId="5" type="noConversion"/>
  </si>
  <si>
    <t>送料方向</t>
    <phoneticPr fontId="2" type="noConversion"/>
  </si>
  <si>
    <t>↑</t>
    <phoneticPr fontId="5" type="noConversion"/>
  </si>
  <si>
    <t>定位销</t>
    <phoneticPr fontId="5" type="noConversion"/>
  </si>
  <si>
    <t>图例</t>
    <phoneticPr fontId="5" type="noConversion"/>
  </si>
  <si>
    <t>压机平衡缸压力</t>
    <phoneticPr fontId="5" type="noConversion"/>
  </si>
  <si>
    <t>装模高度</t>
    <phoneticPr fontId="5" type="noConversion"/>
  </si>
  <si>
    <t>T</t>
    <phoneticPr fontId="2" type="noConversion"/>
  </si>
  <si>
    <t xml:space="preserve">使用压机吨位 </t>
    <phoneticPr fontId="5" type="noConversion"/>
  </si>
  <si>
    <t>闭合高度</t>
    <phoneticPr fontId="5" type="noConversion"/>
  </si>
  <si>
    <t>撑头形式及数量</t>
    <phoneticPr fontId="5" type="noConversion"/>
  </si>
  <si>
    <t>上模重量</t>
    <phoneticPr fontId="5" type="noConversion"/>
  </si>
  <si>
    <t>下压板形式及数量</t>
    <phoneticPr fontId="5" type="noConversion"/>
  </si>
  <si>
    <t>模具总重量</t>
    <phoneticPr fontId="5" type="noConversion"/>
  </si>
  <si>
    <t>上压板形式及数量</t>
    <phoneticPr fontId="5" type="noConversion"/>
  </si>
  <si>
    <t>模具名称</t>
    <phoneticPr fontId="5" type="noConversion"/>
  </si>
  <si>
    <t xml:space="preserve">                      压机
形式        </t>
    <phoneticPr fontId="5" type="noConversion"/>
  </si>
  <si>
    <t>模具编号</t>
    <phoneticPr fontId="5" type="noConversion"/>
  </si>
  <si>
    <t>本工序模具参数</t>
    <phoneticPr fontId="5" type="noConversion"/>
  </si>
  <si>
    <t>适用车型</t>
    <phoneticPr fontId="5" type="noConversion"/>
  </si>
  <si>
    <t>生产线</t>
    <phoneticPr fontId="5" type="noConversion"/>
  </si>
  <si>
    <t xml:space="preserve">定位销分布图
</t>
    <phoneticPr fontId="5" type="noConversion"/>
  </si>
  <si>
    <t>7-100</t>
    <phoneticPr fontId="2" type="noConversion"/>
  </si>
  <si>
    <t>7-200</t>
    <phoneticPr fontId="2" type="noConversion"/>
  </si>
  <si>
    <t>DX54D+Z100MC</t>
  </si>
  <si>
    <t>DC05+ZE50/50BPO</t>
  </si>
  <si>
    <t>DX57D+Z100MB</t>
  </si>
  <si>
    <t>DX54D+Z100MB</t>
  </si>
  <si>
    <t>HX180BD+Z100MC</t>
  </si>
  <si>
    <t>DX56D+Z100MB</t>
  </si>
  <si>
    <t>DX57D+Z100MC</t>
  </si>
  <si>
    <t>HC220I+ZE50/50BPO</t>
  </si>
  <si>
    <t>HX260LAD+Z100MB</t>
  </si>
  <si>
    <t>DC06+ZE50/50BPO</t>
  </si>
  <si>
    <t>DX56D+Z100MC</t>
  </si>
  <si>
    <t>HX220BD+Z100MB</t>
  </si>
  <si>
    <t>是</t>
    <phoneticPr fontId="30" type="noConversion"/>
  </si>
  <si>
    <t>否</t>
    <phoneticPr fontId="30" type="noConversion"/>
  </si>
  <si>
    <t>（± 0.2Mpa）</t>
    <phoneticPr fontId="30" type="noConversion"/>
  </si>
  <si>
    <t xml:space="preserve"> （± 50KN）</t>
    <phoneticPr fontId="30" type="noConversion"/>
  </si>
  <si>
    <t>（KN）</t>
    <phoneticPr fontId="30" type="noConversion"/>
  </si>
  <si>
    <t>（Bar）</t>
    <phoneticPr fontId="30" type="noConversion"/>
  </si>
  <si>
    <t>（Mpa）</t>
    <phoneticPr fontId="30" type="noConversion"/>
  </si>
  <si>
    <t>硬支撑</t>
    <phoneticPr fontId="30" type="noConversion"/>
  </si>
  <si>
    <t>/</t>
    <phoneticPr fontId="30" type="noConversion"/>
  </si>
  <si>
    <t>●</t>
    <phoneticPr fontId="30" type="noConversion"/>
  </si>
  <si>
    <t>◎</t>
    <phoneticPr fontId="30" type="noConversion"/>
  </si>
  <si>
    <t>○</t>
    <phoneticPr fontId="30" type="noConversion"/>
  </si>
  <si>
    <t>（是）</t>
    <phoneticPr fontId="30" type="noConversion"/>
  </si>
  <si>
    <t>（否）</t>
    <phoneticPr fontId="30" type="noConversion"/>
  </si>
  <si>
    <t>mm</t>
    <phoneticPr fontId="5" type="noConversion"/>
  </si>
  <si>
    <t>自动</t>
    <phoneticPr fontId="2" type="noConversion"/>
  </si>
  <si>
    <t>手动</t>
    <phoneticPr fontId="2" type="noConversion"/>
  </si>
  <si>
    <t>／</t>
    <phoneticPr fontId="2" type="noConversion"/>
  </si>
  <si>
    <t>硬支撑</t>
    <phoneticPr fontId="2" type="noConversion"/>
  </si>
  <si>
    <t>顶出高度范围
（±2mm）</t>
    <phoneticPr fontId="2" type="noConversion"/>
  </si>
  <si>
    <t>3.是否过清洗机</t>
    <phoneticPr fontId="2" type="noConversion"/>
  </si>
  <si>
    <t>（是）</t>
  </si>
  <si>
    <t>硬支撑</t>
    <phoneticPr fontId="2" type="noConversion"/>
  </si>
  <si>
    <t>手动</t>
    <phoneticPr fontId="2" type="noConversion"/>
  </si>
  <si>
    <t>自动</t>
    <phoneticPr fontId="2" type="noConversion"/>
  </si>
  <si>
    <t>舒勒</t>
    <phoneticPr fontId="2" type="noConversion"/>
  </si>
  <si>
    <t>济二</t>
    <phoneticPr fontId="2" type="noConversion"/>
  </si>
  <si>
    <t>OP20</t>
    <phoneticPr fontId="2" type="noConversion"/>
  </si>
  <si>
    <t>OP30</t>
    <phoneticPr fontId="2" type="noConversion"/>
  </si>
  <si>
    <t>OP40</t>
    <phoneticPr fontId="2" type="noConversion"/>
  </si>
  <si>
    <t>OP50</t>
    <phoneticPr fontId="2" type="noConversion"/>
  </si>
  <si>
    <t>OP60</t>
    <phoneticPr fontId="2" type="noConversion"/>
  </si>
  <si>
    <t>OP70</t>
    <phoneticPr fontId="2" type="noConversion"/>
  </si>
  <si>
    <t>CBF0（左、右）</t>
  </si>
  <si>
    <t>CBF1（左、右）</t>
  </si>
  <si>
    <t>CBF2（左、右）</t>
  </si>
  <si>
    <t>CBF0（左、右）</t>
    <phoneticPr fontId="2" type="noConversion"/>
  </si>
  <si>
    <t>CBF3（左、右）</t>
  </si>
  <si>
    <t>CBF4（左、右）</t>
  </si>
  <si>
    <t>CBF6（左、右）</t>
  </si>
  <si>
    <t>拉伸垫缸压力
（±50KN）</t>
    <phoneticPr fontId="5" type="noConversion"/>
  </si>
  <si>
    <t>滑块气垫压力</t>
    <phoneticPr fontId="2" type="noConversion"/>
  </si>
  <si>
    <t>DC04</t>
  </si>
  <si>
    <t>DC04+ZE50/50BPO</t>
  </si>
  <si>
    <t>DC04-A-m</t>
  </si>
  <si>
    <t>DC05-A-m</t>
  </si>
  <si>
    <t>DC05+ZE75/75BP0</t>
  </si>
  <si>
    <t>DX53D+Z100MB</t>
  </si>
  <si>
    <t>DX53D+Z100MC</t>
  </si>
  <si>
    <t>DX56D+Z100MB+NIT</t>
  </si>
  <si>
    <t>DX56D+Z100NC</t>
  </si>
  <si>
    <t>H180BD+Z100MC</t>
  </si>
  <si>
    <t>H180YD+Z100MB</t>
  </si>
  <si>
    <t>H220BD+Z100MC</t>
  </si>
  <si>
    <t>H220BD+ZE50/50BPO</t>
  </si>
  <si>
    <t>H220P</t>
  </si>
  <si>
    <t>H220YD+Z100MB</t>
  </si>
  <si>
    <t>H260LA</t>
  </si>
  <si>
    <t>H260LAD+Z100MB</t>
  </si>
  <si>
    <t>H260LAD+Z140MB</t>
  </si>
  <si>
    <t>H260PD+Z100MB</t>
  </si>
  <si>
    <t xml:space="preserve">H340LA </t>
  </si>
  <si>
    <t>H340LAD+Z100MB</t>
  </si>
  <si>
    <t>HC180B+ZE50/50BPO</t>
  </si>
  <si>
    <t>HC220B+ZE50/50BPO</t>
  </si>
  <si>
    <t>HC220YD+Z100MC</t>
  </si>
  <si>
    <t>HC300LA</t>
  </si>
  <si>
    <t>HC340LAD+Z100MB</t>
  </si>
  <si>
    <t>HC420LA</t>
  </si>
  <si>
    <t>HC450XD+Z100MB</t>
  </si>
  <si>
    <t>HX180BD+Z100MB</t>
  </si>
  <si>
    <t>HX180BD+Z100MC+NIT</t>
  </si>
  <si>
    <t>HX180YD+Z100MB</t>
  </si>
  <si>
    <t>HX220YD+Z100MB</t>
  </si>
  <si>
    <t>HX220YD+Z100MC</t>
  </si>
  <si>
    <t>HX300LAD+Z100MB</t>
  </si>
  <si>
    <t>HX340LAD+Z100MB</t>
  </si>
  <si>
    <t>HX380LAD+Z100MB</t>
  </si>
  <si>
    <t>HX420LAD+Z100MB</t>
  </si>
  <si>
    <t>ZSTE220i+ZE50/50BPO</t>
  </si>
  <si>
    <t>ZSTE220i+ZE75/75BPO</t>
  </si>
  <si>
    <t>宝钢（BAOSTEEL）</t>
  </si>
  <si>
    <t>大连蒂森（TAGAL）</t>
  </si>
  <si>
    <t>浦项（POSCO）</t>
  </si>
  <si>
    <t>广东浦项（POSCO Guangdong）</t>
  </si>
  <si>
    <t>广州JFE（GJSS）</t>
  </si>
  <si>
    <t>武钢（WISCO）</t>
  </si>
  <si>
    <t>鞍钢（ANSTEEL）</t>
  </si>
  <si>
    <t>阿赛洛（ARCELOR）</t>
  </si>
  <si>
    <t>蒂森（TKS）</t>
  </si>
  <si>
    <t>瑞钢（SSAB）</t>
  </si>
  <si>
    <t>首钢（Shougang）</t>
  </si>
  <si>
    <t>宝钢阿赛洛（Shanghai Baosteel &amp; Arcelor Tailor Metal）</t>
  </si>
  <si>
    <t>无</t>
  </si>
  <si>
    <t>×</t>
    <phoneticPr fontId="2" type="noConversion"/>
  </si>
  <si>
    <t xml:space="preserve">2.无故障冲次       </t>
    <phoneticPr fontId="2" type="noConversion"/>
  </si>
  <si>
    <t xml:space="preserve">次/分 （±0.2次/分） </t>
    <phoneticPr fontId="2" type="noConversion"/>
  </si>
  <si>
    <t>切边模</t>
    <phoneticPr fontId="30" type="noConversion"/>
  </si>
  <si>
    <t>翻边模</t>
    <phoneticPr fontId="30" type="noConversion"/>
  </si>
  <si>
    <t>整形模</t>
    <phoneticPr fontId="30" type="noConversion"/>
  </si>
  <si>
    <t>冲孔模</t>
    <phoneticPr fontId="30" type="noConversion"/>
  </si>
  <si>
    <t>空工位</t>
    <phoneticPr fontId="30" type="noConversion"/>
  </si>
  <si>
    <t>二次拉伸模</t>
    <phoneticPr fontId="30" type="noConversion"/>
  </si>
  <si>
    <t>切边整形模</t>
    <phoneticPr fontId="30" type="noConversion"/>
  </si>
  <si>
    <t>翻边整形模</t>
    <phoneticPr fontId="30" type="noConversion"/>
  </si>
  <si>
    <t>翻边冲孔模</t>
    <phoneticPr fontId="30" type="noConversion"/>
  </si>
  <si>
    <t>组合模</t>
    <phoneticPr fontId="30" type="noConversion"/>
  </si>
  <si>
    <t>专用料架</t>
    <phoneticPr fontId="30" type="noConversion"/>
  </si>
  <si>
    <t>7V1通用料箱</t>
    <phoneticPr fontId="30" type="noConversion"/>
  </si>
  <si>
    <t>7V2通用料箱</t>
    <phoneticPr fontId="30" type="noConversion"/>
  </si>
  <si>
    <t>7143通用料箱</t>
    <phoneticPr fontId="30" type="noConversion"/>
  </si>
  <si>
    <t>/</t>
    <phoneticPr fontId="30" type="noConversion"/>
  </si>
  <si>
    <t>否</t>
  </si>
  <si>
    <t>KN</t>
    <phoneticPr fontId="2" type="noConversion"/>
  </si>
  <si>
    <t>Bar</t>
    <phoneticPr fontId="2" type="noConversion"/>
  </si>
  <si>
    <t>Bar</t>
  </si>
  <si>
    <t>6-100</t>
    <phoneticPr fontId="2" type="noConversion"/>
  </si>
  <si>
    <t>6-200</t>
    <phoneticPr fontId="2" type="noConversion"/>
  </si>
  <si>
    <t>6-300</t>
    <phoneticPr fontId="2" type="noConversion"/>
  </si>
  <si>
    <t>5-100</t>
    <phoneticPr fontId="2" type="noConversion"/>
  </si>
  <si>
    <t>5-200</t>
    <phoneticPr fontId="2" type="noConversion"/>
  </si>
  <si>
    <t>4-100</t>
    <phoneticPr fontId="2" type="noConversion"/>
  </si>
  <si>
    <t>☆</t>
    <phoneticPr fontId="2" type="noConversion"/>
  </si>
  <si>
    <t>适用车型</t>
    <phoneticPr fontId="5" type="noConversion"/>
  </si>
  <si>
    <t>○</t>
    <phoneticPr fontId="2" type="noConversion"/>
  </si>
  <si>
    <t>定位销孔</t>
    <phoneticPr fontId="5" type="noConversion"/>
  </si>
  <si>
    <t>顶棒</t>
    <phoneticPr fontId="2" type="noConversion"/>
  </si>
  <si>
    <t>顶棒孔</t>
    <phoneticPr fontId="2" type="noConversion"/>
  </si>
  <si>
    <t xml:space="preserve">定位销及气垫顶棒分布图
</t>
    <phoneticPr fontId="5" type="noConversion"/>
  </si>
  <si>
    <t>顶棒/定位销孔</t>
    <phoneticPr fontId="2" type="noConversion"/>
  </si>
  <si>
    <t>进料：</t>
    <phoneticPr fontId="2" type="noConversion"/>
  </si>
  <si>
    <t>出料：</t>
    <phoneticPr fontId="5" type="noConversion"/>
  </si>
  <si>
    <t>-14</t>
  </si>
  <si>
    <t>-14</t>
    <phoneticPr fontId="2" type="noConversion"/>
  </si>
  <si>
    <t>用上料手将板料送至本道模具内</t>
    <phoneticPr fontId="2" type="noConversion"/>
  </si>
  <si>
    <t>用下料手将零件送至下道模具内</t>
  </si>
  <si>
    <t>用下料手将零件送至下道模具内</t>
    <phoneticPr fontId="2" type="noConversion"/>
  </si>
  <si>
    <t>人</t>
    <phoneticPr fontId="2" type="noConversion"/>
  </si>
  <si>
    <t>1.巡视操作人数</t>
    <phoneticPr fontId="2" type="noConversion"/>
  </si>
  <si>
    <t>OP20</t>
  </si>
  <si>
    <t>拉延</t>
    <phoneticPr fontId="2" type="noConversion"/>
  </si>
  <si>
    <t>用上料手将板料送至本道模具内</t>
    <phoneticPr fontId="2" type="noConversion"/>
  </si>
  <si>
    <t>用上料手将零件送至本道模具内</t>
    <phoneticPr fontId="2" type="noConversion"/>
  </si>
  <si>
    <t>用下料手将零件送至穿梭小车上</t>
    <phoneticPr fontId="2" type="noConversion"/>
  </si>
  <si>
    <t>用下料手将零件送至输送皮带上</t>
    <phoneticPr fontId="2" type="noConversion"/>
  </si>
  <si>
    <t>7-200</t>
    <phoneticPr fontId="2" type="noConversion"/>
  </si>
  <si>
    <t>济二</t>
    <phoneticPr fontId="2" type="noConversion"/>
  </si>
  <si>
    <t>◎</t>
    <phoneticPr fontId="5" type="noConversion"/>
  </si>
  <si>
    <t>CBF1（左、右）</t>
    <phoneticPr fontId="2" type="noConversion"/>
  </si>
  <si>
    <t>CBF5（左、右）</t>
    <phoneticPr fontId="2" type="noConversion"/>
  </si>
  <si>
    <t>压机自动匹配</t>
    <phoneticPr fontId="2" type="noConversion"/>
  </si>
  <si>
    <t>OP40</t>
  </si>
  <si>
    <t xml:space="preserve"> （± 50KN）</t>
    <phoneticPr fontId="2" type="noConversion"/>
  </si>
  <si>
    <t>（± 0.2Mpa）</t>
    <phoneticPr fontId="2" type="noConversion"/>
  </si>
  <si>
    <t>OP60</t>
  </si>
  <si>
    <t>OP30</t>
  </si>
  <si>
    <t>OP50</t>
  </si>
  <si>
    <t>±2.0</t>
    <phoneticPr fontId="2" type="noConversion"/>
  </si>
  <si>
    <t>/</t>
  </si>
  <si>
    <t>/</t>
    <phoneticPr fontId="2" type="noConversion"/>
  </si>
  <si>
    <t>/</t>
    <phoneticPr fontId="2" type="noConversion"/>
  </si>
  <si>
    <t>CBF5（左、右）</t>
  </si>
  <si>
    <t>专用料架</t>
  </si>
  <si>
    <t xml:space="preserve">4.冲压拉延油：帕卡兴Mu-320 </t>
    <phoneticPr fontId="2" type="noConversion"/>
  </si>
  <si>
    <t>5-100</t>
  </si>
  <si>
    <t>/</t>
    <phoneticPr fontId="2" type="noConversion"/>
  </si>
  <si>
    <t>◎</t>
  </si>
  <si>
    <t>●</t>
  </si>
  <si>
    <t>切边模</t>
  </si>
  <si>
    <t>切边整形模</t>
  </si>
  <si>
    <t>用下料手将零件送至穿梭小车上</t>
  </si>
  <si>
    <t>PFSY 冲压件工艺卡</t>
    <phoneticPr fontId="2" type="noConversion"/>
  </si>
  <si>
    <t>PROT(AA)-10.1-PFS-015-1.00</t>
    <phoneticPr fontId="2" type="noConversion"/>
  </si>
  <si>
    <t>HX220BD+Z100MC</t>
    <phoneticPr fontId="2" type="noConversion"/>
  </si>
  <si>
    <t>翻边冲孔模</t>
  </si>
  <si>
    <t>左侧围</t>
    <phoneticPr fontId="2" type="noConversion"/>
  </si>
  <si>
    <t>CR5-GI40/40-E-O</t>
    <phoneticPr fontId="2" type="noConversion"/>
  </si>
  <si>
    <t>OP70</t>
    <phoneticPr fontId="2" type="noConversion"/>
  </si>
  <si>
    <t>78-72D-046001</t>
    <phoneticPr fontId="2" type="noConversion"/>
  </si>
  <si>
    <t>2SD 809 605</t>
    <phoneticPr fontId="2" type="noConversion"/>
  </si>
  <si>
    <t>78-72D-046003</t>
    <phoneticPr fontId="2" type="noConversion"/>
  </si>
  <si>
    <t>Polo NF</t>
    <phoneticPr fontId="2" type="noConversion"/>
  </si>
  <si>
    <t>78-72D-046005</t>
    <phoneticPr fontId="2" type="noConversion"/>
  </si>
  <si>
    <t>78-72D-046007</t>
    <phoneticPr fontId="30" type="noConversion"/>
  </si>
  <si>
    <t>78-72D-046009</t>
    <phoneticPr fontId="2" type="noConversion"/>
  </si>
  <si>
    <t>78-72D-046011</t>
    <phoneticPr fontId="2" type="noConversion"/>
  </si>
  <si>
    <t>0.70*落料片</t>
    <phoneticPr fontId="2" type="noConversion"/>
  </si>
  <si>
    <t>/</t>
    <phoneticPr fontId="2" type="noConversion"/>
  </si>
  <si>
    <t>5.因模具未提速完成，遂暂无无故障冲次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</si>
</sst>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 "/>
    <numFmt numFmtId="177" formatCode="0.0_ "/>
    <numFmt numFmtId="178" formatCode="0_)"/>
    <numFmt numFmtId="179" formatCode="0.0"/>
  </numFmts>
  <fonts count="36">
    <font>
      <sz val="11"/>
      <color theme="1"/>
      <name val="宋体"/>
      <family val="2"/>
      <charset val="134"/>
      <scheme val="minor"/>
    </font>
    <font>
      <sz val="26"/>
      <name val="微软雅黑"/>
      <family val="2"/>
      <charset val="134"/>
    </font>
    <font>
      <sz val="9"/>
      <name val="宋体"/>
      <family val="2"/>
      <charset val="134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7"/>
      <name val="宋体"/>
      <family val="3"/>
      <charset val="134"/>
    </font>
    <font>
      <sz val="7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name val="微软雅黑"/>
      <family val="2"/>
      <charset val="134"/>
    </font>
    <font>
      <sz val="16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宋体"/>
      <family val="3"/>
      <charset val="134"/>
    </font>
    <font>
      <b/>
      <sz val="12"/>
      <name val="微软雅黑"/>
      <family val="2"/>
      <charset val="134"/>
    </font>
    <font>
      <sz val="48"/>
      <name val="宋体"/>
      <family val="3"/>
      <charset val="134"/>
    </font>
    <font>
      <sz val="7"/>
      <color theme="1"/>
      <name val="宋体"/>
      <family val="3"/>
      <charset val="134"/>
    </font>
    <font>
      <b/>
      <sz val="8"/>
      <name val="微软雅黑"/>
      <family val="2"/>
      <charset val="134"/>
    </font>
    <font>
      <b/>
      <sz val="9"/>
      <name val="宋体"/>
      <family val="3"/>
      <charset val="134"/>
    </font>
    <font>
      <b/>
      <sz val="10"/>
      <name val="微软雅黑"/>
      <family val="2"/>
      <charset val="134"/>
    </font>
    <font>
      <sz val="7"/>
      <name val="Small Fonts"/>
      <family val="2"/>
    </font>
    <font>
      <sz val="10"/>
      <name val="MS Sans Serif"/>
      <family val="2"/>
    </font>
    <font>
      <sz val="10"/>
      <name val="Courier"/>
      <family val="3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24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b/>
      <sz val="12"/>
      <color rgb="FF0000FF"/>
      <name val="宋体"/>
      <family val="3"/>
      <charset val="134"/>
    </font>
    <font>
      <b/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theme="1" tint="0.499984740745262"/>
      </right>
      <top/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6" fillId="0" borderId="0"/>
    <xf numFmtId="0" fontId="6" fillId="0" borderId="0">
      <alignment vertical="center"/>
    </xf>
    <xf numFmtId="37" fontId="23" fillId="0" borderId="0"/>
    <xf numFmtId="0" fontId="24" fillId="0" borderId="0"/>
    <xf numFmtId="0" fontId="6" fillId="0" borderId="0"/>
    <xf numFmtId="178" fontId="25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</cellStyleXfs>
  <cellXfs count="300">
    <xf numFmtId="0" fontId="0" fillId="0" borderId="0" xfId="0">
      <alignment vertical="center"/>
    </xf>
    <xf numFmtId="0" fontId="6" fillId="2" borderId="0" xfId="1" applyFill="1" applyAlignment="1">
      <alignment vertical="center"/>
    </xf>
    <xf numFmtId="0" fontId="3" fillId="2" borderId="0" xfId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 wrapText="1" shrinkToFit="1"/>
    </xf>
    <xf numFmtId="0" fontId="10" fillId="2" borderId="10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8" fillId="2" borderId="41" xfId="2" applyFont="1" applyFill="1" applyBorder="1" applyAlignment="1">
      <alignment vertical="distributed"/>
    </xf>
    <xf numFmtId="0" fontId="8" fillId="2" borderId="42" xfId="2" applyFont="1" applyFill="1" applyBorder="1" applyAlignment="1">
      <alignment horizontal="left" vertical="center"/>
    </xf>
    <xf numFmtId="0" fontId="8" fillId="2" borderId="42" xfId="2" applyFont="1" applyFill="1" applyBorder="1" applyAlignment="1">
      <alignment vertical="distributed"/>
    </xf>
    <xf numFmtId="0" fontId="8" fillId="2" borderId="43" xfId="2" applyFont="1" applyFill="1" applyBorder="1" applyAlignment="1">
      <alignment vertical="distributed"/>
    </xf>
    <xf numFmtId="0" fontId="8" fillId="2" borderId="44" xfId="2" applyFont="1" applyFill="1" applyBorder="1" applyAlignment="1">
      <alignment vertical="distributed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4" fillId="2" borderId="3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4" fillId="2" borderId="36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 wrapText="1"/>
    </xf>
    <xf numFmtId="0" fontId="4" fillId="2" borderId="38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 wrapText="1" shrinkToFit="1"/>
    </xf>
    <xf numFmtId="0" fontId="15" fillId="2" borderId="0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4" fillId="2" borderId="39" xfId="0" applyFont="1" applyFill="1" applyBorder="1" applyAlignment="1">
      <alignment vertical="center"/>
    </xf>
    <xf numFmtId="0" fontId="16" fillId="2" borderId="0" xfId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1" fillId="2" borderId="10" xfId="0" applyFont="1" applyFill="1" applyBorder="1" applyAlignment="1">
      <alignment vertical="center"/>
    </xf>
    <xf numFmtId="0" fontId="15" fillId="2" borderId="10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3" fillId="2" borderId="25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2" borderId="40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vertical="center"/>
    </xf>
    <xf numFmtId="0" fontId="8" fillId="2" borderId="0" xfId="0" applyFont="1" applyFill="1" applyBorder="1" applyAlignment="1"/>
    <xf numFmtId="0" fontId="3" fillId="2" borderId="11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vertical="center" wrapText="1"/>
    </xf>
    <xf numFmtId="0" fontId="8" fillId="2" borderId="26" xfId="0" applyFont="1" applyFill="1" applyBorder="1" applyAlignment="1">
      <alignment vertical="center"/>
    </xf>
    <xf numFmtId="0" fontId="8" fillId="2" borderId="40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vertical="center"/>
    </xf>
    <xf numFmtId="49" fontId="15" fillId="2" borderId="10" xfId="0" applyNumberFormat="1" applyFont="1" applyFill="1" applyBorder="1" applyAlignment="1">
      <alignment horizontal="center" vertical="center" wrapText="1" shrinkToFit="1"/>
    </xf>
    <xf numFmtId="49" fontId="15" fillId="2" borderId="0" xfId="0" applyNumberFormat="1" applyFont="1" applyFill="1" applyBorder="1" applyAlignment="1">
      <alignment horizontal="center" vertical="center" wrapText="1" shrinkToFit="1"/>
    </xf>
    <xf numFmtId="0" fontId="15" fillId="2" borderId="0" xfId="0" applyFont="1" applyFill="1" applyBorder="1" applyAlignment="1">
      <alignment horizontal="right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vertical="center"/>
    </xf>
    <xf numFmtId="0" fontId="28" fillId="2" borderId="36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wrapText="1"/>
    </xf>
    <xf numFmtId="0" fontId="16" fillId="2" borderId="46" xfId="0" applyFont="1" applyFill="1" applyBorder="1" applyAlignment="1">
      <alignment horizontal="center" vertical="center"/>
    </xf>
    <xf numFmtId="0" fontId="16" fillId="2" borderId="46" xfId="1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 wrapText="1"/>
    </xf>
    <xf numFmtId="0" fontId="6" fillId="2" borderId="0" xfId="5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13" xfId="5" applyFill="1" applyBorder="1" applyAlignment="1">
      <alignment vertical="center"/>
    </xf>
    <xf numFmtId="0" fontId="6" fillId="2" borderId="0" xfId="5" applyFill="1" applyAlignment="1">
      <alignment horizontal="center" vertical="center"/>
    </xf>
    <xf numFmtId="0" fontId="32" fillId="2" borderId="0" xfId="5" applyFont="1" applyFill="1" applyAlignment="1">
      <alignment vertical="center"/>
    </xf>
    <xf numFmtId="0" fontId="31" fillId="0" borderId="13" xfId="0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33" fillId="2" borderId="0" xfId="5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16" fillId="2" borderId="0" xfId="0" applyFont="1" applyFill="1" applyBorder="1" applyAlignment="1" applyProtection="1">
      <alignment horizontal="center" vertical="center"/>
    </xf>
    <xf numFmtId="0" fontId="16" fillId="2" borderId="46" xfId="0" applyFont="1" applyFill="1" applyBorder="1" applyAlignment="1" applyProtection="1">
      <alignment horizontal="center" vertical="center"/>
    </xf>
    <xf numFmtId="0" fontId="34" fillId="2" borderId="46" xfId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center" vertical="center"/>
    </xf>
    <xf numFmtId="0" fontId="16" fillId="2" borderId="49" xfId="1" applyFont="1" applyFill="1" applyBorder="1" applyAlignment="1">
      <alignment horizontal="center" vertical="center"/>
    </xf>
    <xf numFmtId="0" fontId="16" fillId="2" borderId="0" xfId="1" applyFont="1" applyFill="1" applyBorder="1" applyAlignment="1">
      <alignment horizontal="right" vertical="center"/>
    </xf>
    <xf numFmtId="0" fontId="34" fillId="2" borderId="0" xfId="1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vertical="center"/>
    </xf>
    <xf numFmtId="0" fontId="3" fillId="2" borderId="4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right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16" fillId="2" borderId="46" xfId="1" applyFont="1" applyFill="1" applyBorder="1" applyAlignment="1" applyProtection="1">
      <alignment horizontal="center" vertical="center"/>
      <protection locked="0"/>
    </xf>
    <xf numFmtId="0" fontId="16" fillId="2" borderId="0" xfId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/>
    <xf numFmtId="0" fontId="8" fillId="2" borderId="0" xfId="0" applyFont="1" applyFill="1" applyBorder="1" applyAlignment="1" applyProtection="1"/>
    <xf numFmtId="0" fontId="8" fillId="2" borderId="0" xfId="0" applyFont="1" applyFill="1" applyBorder="1" applyAlignment="1" applyProtection="1">
      <alignment vertical="center"/>
    </xf>
    <xf numFmtId="0" fontId="4" fillId="2" borderId="0" xfId="0" applyFont="1" applyFill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4" fillId="2" borderId="36" xfId="0" applyFont="1" applyFill="1" applyBorder="1" applyAlignment="1" applyProtection="1">
      <alignment vertical="center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2" borderId="45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3" fillId="2" borderId="0" xfId="1" applyFont="1" applyFill="1" applyBorder="1" applyAlignment="1" applyProtection="1">
      <alignment horizontal="center" vertical="center"/>
      <protection locked="0"/>
    </xf>
    <xf numFmtId="0" fontId="8" fillId="0" borderId="0" xfId="5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14" xfId="0" applyFont="1" applyBorder="1" applyAlignment="1" applyProtection="1">
      <alignment horizontal="center" vertical="center" wrapText="1"/>
      <protection locked="0"/>
    </xf>
    <xf numFmtId="0" fontId="31" fillId="0" borderId="47" xfId="0" applyFont="1" applyBorder="1" applyAlignment="1" applyProtection="1">
      <alignment horizontal="center" vertical="center" wrapText="1"/>
      <protection locked="0"/>
    </xf>
    <xf numFmtId="0" fontId="31" fillId="0" borderId="48" xfId="0" applyFont="1" applyBorder="1" applyAlignment="1" applyProtection="1">
      <alignment horizontal="center" vertical="center" wrapText="1"/>
      <protection locked="0"/>
    </xf>
    <xf numFmtId="0" fontId="31" fillId="0" borderId="58" xfId="0" applyFont="1" applyBorder="1" applyAlignment="1" applyProtection="1">
      <alignment horizontal="center" vertical="center" wrapText="1"/>
      <protection locked="0"/>
    </xf>
    <xf numFmtId="0" fontId="31" fillId="0" borderId="16" xfId="0" applyFont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3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2" borderId="37" xfId="0" applyNumberFormat="1" applyFont="1" applyFill="1" applyBorder="1" applyAlignment="1" applyProtection="1">
      <alignment horizontal="center" vertical="top" wrapText="1"/>
      <protection locked="0"/>
    </xf>
    <xf numFmtId="176" fontId="3" fillId="2" borderId="10" xfId="0" applyNumberFormat="1" applyFont="1" applyFill="1" applyBorder="1" applyAlignment="1" applyProtection="1">
      <alignment horizontal="center" vertical="top" wrapText="1"/>
      <protection locked="0"/>
    </xf>
    <xf numFmtId="176" fontId="3" fillId="2" borderId="11" xfId="0" applyNumberFormat="1" applyFont="1" applyFill="1" applyBorder="1" applyAlignment="1" applyProtection="1">
      <alignment horizontal="center" vertical="top" wrapText="1"/>
      <protection locked="0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/>
    </xf>
    <xf numFmtId="0" fontId="3" fillId="2" borderId="14" xfId="1" applyFont="1" applyFill="1" applyBorder="1" applyAlignment="1" applyProtection="1">
      <alignment horizontal="center" vertical="center"/>
      <protection locked="0"/>
    </xf>
    <xf numFmtId="0" fontId="3" fillId="2" borderId="15" xfId="1" applyFont="1" applyFill="1" applyBorder="1" applyAlignment="1" applyProtection="1">
      <alignment horizontal="center" vertical="center"/>
      <protection locked="0"/>
    </xf>
    <xf numFmtId="0" fontId="3" fillId="2" borderId="15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177" fontId="3" fillId="2" borderId="14" xfId="1" applyNumberFormat="1" applyFont="1" applyFill="1" applyBorder="1" applyAlignment="1" applyProtection="1">
      <alignment horizontal="right" vertical="center"/>
      <protection locked="0"/>
    </xf>
    <xf numFmtId="177" fontId="3" fillId="2" borderId="15" xfId="1" applyNumberFormat="1" applyFont="1" applyFill="1" applyBorder="1" applyAlignment="1" applyProtection="1">
      <alignment horizontal="right" vertical="center"/>
      <protection locked="0"/>
    </xf>
    <xf numFmtId="0" fontId="17" fillId="2" borderId="0" xfId="0" applyFont="1" applyFill="1" applyBorder="1" applyAlignment="1">
      <alignment horizontal="center" vertical="top" wrapText="1"/>
    </xf>
    <xf numFmtId="0" fontId="18" fillId="2" borderId="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177" fontId="3" fillId="2" borderId="15" xfId="1" applyNumberFormat="1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9" fillId="2" borderId="25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 applyProtection="1">
      <alignment horizontal="center" vertical="center"/>
      <protection locked="0"/>
    </xf>
    <xf numFmtId="176" fontId="3" fillId="2" borderId="7" xfId="0" applyNumberFormat="1" applyFont="1" applyFill="1" applyBorder="1" applyAlignment="1" applyProtection="1">
      <alignment horizontal="center" vertical="center"/>
      <protection locked="0"/>
    </xf>
    <xf numFmtId="176" fontId="3" fillId="2" borderId="8" xfId="0" applyNumberFormat="1" applyFont="1" applyFill="1" applyBorder="1" applyAlignment="1" applyProtection="1">
      <alignment horizontal="center" vertical="center"/>
      <protection locked="0"/>
    </xf>
    <xf numFmtId="49" fontId="3" fillId="2" borderId="14" xfId="1" applyNumberFormat="1" applyFont="1" applyFill="1" applyBorder="1" applyAlignment="1" applyProtection="1">
      <alignment horizontal="center" vertical="center"/>
      <protection locked="0"/>
    </xf>
    <xf numFmtId="49" fontId="3" fillId="2" borderId="15" xfId="1" applyNumberFormat="1" applyFont="1" applyFill="1" applyBorder="1" applyAlignment="1" applyProtection="1">
      <alignment horizontal="center" vertical="center"/>
      <protection locked="0"/>
    </xf>
    <xf numFmtId="49" fontId="3" fillId="2" borderId="16" xfId="1" applyNumberFormat="1" applyFont="1" applyFill="1" applyBorder="1" applyAlignment="1" applyProtection="1">
      <alignment horizontal="center" vertical="center"/>
      <protection locked="0"/>
    </xf>
    <xf numFmtId="0" fontId="3" fillId="2" borderId="12" xfId="1" applyFont="1" applyFill="1" applyBorder="1" applyAlignment="1" applyProtection="1">
      <alignment horizontal="center" vertical="center"/>
      <protection locked="0"/>
    </xf>
    <xf numFmtId="0" fontId="8" fillId="2" borderId="42" xfId="2" applyFont="1" applyFill="1" applyBorder="1" applyAlignment="1" applyProtection="1">
      <alignment horizontal="center" vertical="distributed"/>
      <protection locked="0"/>
    </xf>
    <xf numFmtId="0" fontId="3" fillId="2" borderId="56" xfId="0" applyFont="1" applyFill="1" applyBorder="1" applyAlignment="1" applyProtection="1">
      <alignment horizontal="center" vertical="center" wrapText="1"/>
    </xf>
    <xf numFmtId="0" fontId="3" fillId="2" borderId="55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</xf>
    <xf numFmtId="0" fontId="3" fillId="2" borderId="45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40" xfId="0" applyFont="1" applyFill="1" applyBorder="1" applyAlignment="1" applyProtection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1" applyFont="1" applyFill="1" applyBorder="1" applyAlignment="1" applyProtection="1">
      <alignment horizontal="center" vertical="center"/>
    </xf>
    <xf numFmtId="0" fontId="3" fillId="2" borderId="18" xfId="1" applyFont="1" applyFill="1" applyBorder="1" applyAlignment="1" applyProtection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left" vertical="center"/>
    </xf>
    <xf numFmtId="0" fontId="3" fillId="2" borderId="25" xfId="1" applyFont="1" applyFill="1" applyBorder="1" applyAlignment="1" applyProtection="1">
      <alignment horizontal="center" vertical="center"/>
      <protection locked="0"/>
    </xf>
    <xf numFmtId="0" fontId="3" fillId="2" borderId="26" xfId="1" applyFont="1" applyFill="1" applyBorder="1" applyAlignment="1" applyProtection="1">
      <alignment horizontal="center" vertical="center"/>
      <protection locked="0"/>
    </xf>
    <xf numFmtId="0" fontId="3" fillId="2" borderId="14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3" fillId="2" borderId="15" xfId="0" applyFont="1" applyFill="1" applyBorder="1" applyAlignment="1"/>
    <xf numFmtId="0" fontId="3" fillId="2" borderId="10" xfId="0" applyFont="1" applyFill="1" applyBorder="1" applyAlignment="1"/>
    <xf numFmtId="0" fontId="3" fillId="2" borderId="20" xfId="0" applyFont="1" applyFill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/>
      <protection locked="0"/>
    </xf>
    <xf numFmtId="0" fontId="3" fillId="2" borderId="11" xfId="1" applyFont="1" applyFill="1" applyBorder="1" applyAlignment="1" applyProtection="1">
      <alignment horizontal="center" vertical="center"/>
      <protection locked="0"/>
    </xf>
    <xf numFmtId="0" fontId="7" fillId="2" borderId="0" xfId="1" applyFont="1" applyFill="1" applyBorder="1" applyAlignment="1">
      <alignment horizontal="left" vertical="top" wrapText="1"/>
    </xf>
    <xf numFmtId="0" fontId="7" fillId="2" borderId="10" xfId="1" applyFont="1" applyFill="1" applyBorder="1" applyAlignment="1">
      <alignment horizontal="left" vertical="top" wrapText="1"/>
    </xf>
    <xf numFmtId="0" fontId="3" fillId="0" borderId="52" xfId="0" applyFont="1" applyFill="1" applyBorder="1" applyAlignment="1" applyProtection="1">
      <alignment horizontal="left" vertical="center" wrapText="1"/>
    </xf>
    <xf numFmtId="0" fontId="3" fillId="0" borderId="53" xfId="0" applyFont="1" applyFill="1" applyBorder="1" applyAlignment="1" applyProtection="1">
      <alignment horizontal="left" vertical="center" wrapText="1"/>
    </xf>
    <xf numFmtId="0" fontId="3" fillId="0" borderId="54" xfId="0" applyFont="1" applyFill="1" applyBorder="1" applyAlignment="1" applyProtection="1">
      <alignment horizontal="left" vertical="center" wrapText="1"/>
    </xf>
    <xf numFmtId="0" fontId="3" fillId="0" borderId="52" xfId="0" applyFont="1" applyFill="1" applyBorder="1" applyAlignment="1" applyProtection="1">
      <alignment horizontal="left" vertical="center" wrapText="1"/>
      <protection locked="0"/>
    </xf>
    <xf numFmtId="0" fontId="3" fillId="0" borderId="53" xfId="0" applyFont="1" applyFill="1" applyBorder="1" applyAlignment="1" applyProtection="1">
      <alignment horizontal="left" vertical="center" wrapText="1"/>
      <protection locked="0"/>
    </xf>
    <xf numFmtId="0" fontId="3" fillId="0" borderId="54" xfId="0" applyFont="1" applyFill="1" applyBorder="1" applyAlignment="1" applyProtection="1">
      <alignment horizontal="left" vertical="center" wrapText="1"/>
      <protection locked="0"/>
    </xf>
    <xf numFmtId="0" fontId="3" fillId="2" borderId="45" xfId="0" applyFont="1" applyFill="1" applyBorder="1" applyAlignment="1">
      <alignment horizontal="left" vertical="center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25" xfId="0" applyFont="1" applyFill="1" applyBorder="1" applyAlignment="1" applyProtection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 applyProtection="1">
      <alignment horizontal="center" vertical="center"/>
      <protection locked="0"/>
    </xf>
    <xf numFmtId="0" fontId="3" fillId="2" borderId="55" xfId="0" applyFont="1" applyFill="1" applyBorder="1" applyAlignment="1" applyProtection="1">
      <alignment horizontal="center" vertical="center"/>
      <protection locked="0"/>
    </xf>
    <xf numFmtId="0" fontId="3" fillId="2" borderId="57" xfId="0" applyFont="1" applyFill="1" applyBorder="1" applyAlignment="1" applyProtection="1">
      <alignment horizontal="center" vertical="center"/>
      <protection locked="0"/>
    </xf>
    <xf numFmtId="0" fontId="3" fillId="2" borderId="3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2" borderId="13" xfId="1" applyFont="1" applyFill="1" applyBorder="1" applyAlignment="1" applyProtection="1">
      <alignment horizontal="center" vertical="center"/>
      <protection locked="0"/>
    </xf>
    <xf numFmtId="0" fontId="3" fillId="2" borderId="14" xfId="1" applyFont="1" applyFill="1" applyBorder="1" applyAlignment="1" applyProtection="1">
      <alignment horizontal="center" vertical="center" wrapText="1"/>
      <protection locked="0"/>
    </xf>
    <xf numFmtId="0" fontId="3" fillId="2" borderId="15" xfId="1" applyFont="1" applyFill="1" applyBorder="1" applyAlignment="1" applyProtection="1">
      <alignment horizontal="center" vertical="center" wrapText="1"/>
      <protection locked="0"/>
    </xf>
    <xf numFmtId="0" fontId="3" fillId="2" borderId="12" xfId="1" applyFont="1" applyFill="1" applyBorder="1" applyAlignment="1" applyProtection="1">
      <alignment horizontal="center" vertical="center" wrapText="1"/>
      <protection locked="0"/>
    </xf>
    <xf numFmtId="0" fontId="3" fillId="2" borderId="18" xfId="1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24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0" fontId="3" fillId="0" borderId="14" xfId="5" applyFont="1" applyFill="1" applyBorder="1" applyAlignment="1">
      <alignment horizontal="center" vertical="center" wrapText="1"/>
    </xf>
    <xf numFmtId="0" fontId="3" fillId="0" borderId="15" xfId="5" applyFont="1" applyFill="1" applyBorder="1" applyAlignment="1">
      <alignment horizontal="center" vertical="center"/>
    </xf>
    <xf numFmtId="0" fontId="3" fillId="0" borderId="12" xfId="5" applyFont="1" applyFill="1" applyBorder="1" applyAlignment="1">
      <alignment horizontal="center" vertical="center"/>
    </xf>
    <xf numFmtId="179" fontId="3" fillId="2" borderId="14" xfId="1" applyNumberFormat="1" applyFont="1" applyFill="1" applyBorder="1" applyAlignment="1" applyProtection="1">
      <alignment horizontal="center" vertical="center"/>
      <protection locked="0"/>
    </xf>
    <xf numFmtId="179" fontId="3" fillId="2" borderId="15" xfId="1" applyNumberFormat="1" applyFont="1" applyFill="1" applyBorder="1" applyAlignment="1" applyProtection="1">
      <alignment horizontal="center" vertical="center"/>
      <protection locked="0"/>
    </xf>
  </cellXfs>
  <cellStyles count="22">
    <cellStyle name="no dec" xfId="3"/>
    <cellStyle name="Normal_APR" xfId="4"/>
    <cellStyle name="常规" xfId="0" builtinId="0"/>
    <cellStyle name="常规 10" xfId="15"/>
    <cellStyle name="常规 11" xfId="18"/>
    <cellStyle name="常规 12" xfId="20"/>
    <cellStyle name="常规 13" xfId="19"/>
    <cellStyle name="常规 14" xfId="17"/>
    <cellStyle name="常规 2" xfId="1"/>
    <cellStyle name="常规 2 2" xfId="5"/>
    <cellStyle name="常规 2 3" xfId="21"/>
    <cellStyle name="常规 3" xfId="9"/>
    <cellStyle name="常规 4" xfId="14"/>
    <cellStyle name="常规 5" xfId="12"/>
    <cellStyle name="常规 6" xfId="11"/>
    <cellStyle name="常规 7" xfId="10"/>
    <cellStyle name="常规 8" xfId="13"/>
    <cellStyle name="常规 9" xfId="16"/>
    <cellStyle name="常规_L17（样）" xfId="2"/>
    <cellStyle name="普通_laroux" xfId="6"/>
    <cellStyle name="千分位[0]_laroux" xfId="7"/>
    <cellStyle name="千分位_laroux" xfId="8"/>
  </cellStyles>
  <dxfs count="969"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top style="thin">
          <color auto="1"/>
        </top>
        <vertical/>
        <horizontal/>
      </border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fgColor theme="1"/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fgColor theme="1"/>
          <bgColor theme="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theme="1"/>
          <bgColor rgb="FFFFC000"/>
        </patternFill>
      </fill>
    </dxf>
    <dxf>
      <fill>
        <patternFill>
          <fgColor theme="1"/>
          <bgColor theme="5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23</xdr:row>
      <xdr:rowOff>80010</xdr:rowOff>
    </xdr:from>
    <xdr:to>
      <xdr:col>35</xdr:col>
      <xdr:colOff>72390</xdr:colOff>
      <xdr:row>23</xdr:row>
      <xdr:rowOff>91440</xdr:rowOff>
    </xdr:to>
    <xdr:sp macro="" textlink="">
      <xdr:nvSpPr>
        <xdr:cNvPr id="2" name="Line 164"/>
        <xdr:cNvSpPr>
          <a:spLocks noChangeShapeType="1"/>
        </xdr:cNvSpPr>
      </xdr:nvSpPr>
      <xdr:spPr bwMode="auto">
        <a:xfrm flipV="1">
          <a:off x="899160" y="6442710"/>
          <a:ext cx="5147310" cy="1143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91440</xdr:colOff>
      <xdr:row>16</xdr:row>
      <xdr:rowOff>38100</xdr:rowOff>
    </xdr:from>
    <xdr:to>
      <xdr:col>20</xdr:col>
      <xdr:colOff>99059</xdr:colOff>
      <xdr:row>30</xdr:row>
      <xdr:rowOff>129540</xdr:rowOff>
    </xdr:to>
    <xdr:sp macro="" textlink="">
      <xdr:nvSpPr>
        <xdr:cNvPr id="3" name="Line 165"/>
        <xdr:cNvSpPr>
          <a:spLocks noChangeShapeType="1"/>
        </xdr:cNvSpPr>
      </xdr:nvSpPr>
      <xdr:spPr bwMode="auto">
        <a:xfrm flipV="1">
          <a:off x="3436620" y="5227320"/>
          <a:ext cx="7619" cy="243840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91440</xdr:colOff>
      <xdr:row>33</xdr:row>
      <xdr:rowOff>76198</xdr:rowOff>
    </xdr:from>
    <xdr:to>
      <xdr:col>20</xdr:col>
      <xdr:colOff>99060</xdr:colOff>
      <xdr:row>47</xdr:row>
      <xdr:rowOff>152399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3436620" y="8351518"/>
          <a:ext cx="7620" cy="242316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</xdr:colOff>
      <xdr:row>40</xdr:row>
      <xdr:rowOff>76199</xdr:rowOff>
    </xdr:from>
    <xdr:to>
      <xdr:col>35</xdr:col>
      <xdr:colOff>28575</xdr:colOff>
      <xdr:row>40</xdr:row>
      <xdr:rowOff>95249</xdr:rowOff>
    </xdr:to>
    <xdr:sp macro="" textlink="">
      <xdr:nvSpPr>
        <xdr:cNvPr id="5" name="Line 355"/>
        <xdr:cNvSpPr>
          <a:spLocks noChangeShapeType="1"/>
        </xdr:cNvSpPr>
      </xdr:nvSpPr>
      <xdr:spPr bwMode="auto">
        <a:xfrm flipV="1">
          <a:off x="1036320" y="9391649"/>
          <a:ext cx="5516880" cy="1905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35</xdr:col>
      <xdr:colOff>100853</xdr:colOff>
      <xdr:row>3</xdr:row>
      <xdr:rowOff>44824</xdr:rowOff>
    </xdr:from>
    <xdr:to>
      <xdr:col>51</xdr:col>
      <xdr:colOff>133201</xdr:colOff>
      <xdr:row>7</xdr:row>
      <xdr:rowOff>242437</xdr:rowOff>
    </xdr:to>
    <xdr:pic>
      <xdr:nvPicPr>
        <xdr:cNvPr id="11" name="Picture 7" descr="G2A0023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0559" y="1086971"/>
          <a:ext cx="3259642" cy="1587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89647</xdr:colOff>
      <xdr:row>3</xdr:row>
      <xdr:rowOff>257736</xdr:rowOff>
    </xdr:from>
    <xdr:to>
      <xdr:col>49</xdr:col>
      <xdr:colOff>62334</xdr:colOff>
      <xdr:row>7</xdr:row>
      <xdr:rowOff>5628</xdr:rowOff>
    </xdr:to>
    <xdr:pic>
      <xdr:nvPicPr>
        <xdr:cNvPr id="8" name="图片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7552765" y="1299883"/>
          <a:ext cx="2393157" cy="1137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157" name="Line 169"/>
        <xdr:cNvSpPr>
          <a:spLocks noChangeShapeType="1"/>
        </xdr:cNvSpPr>
      </xdr:nvSpPr>
      <xdr:spPr bwMode="auto">
        <a:xfrm flipV="1">
          <a:off x="3701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207" name="Line 169"/>
        <xdr:cNvSpPr>
          <a:spLocks noChangeShapeType="1"/>
        </xdr:cNvSpPr>
      </xdr:nvSpPr>
      <xdr:spPr bwMode="auto">
        <a:xfrm rot="5400000" flipV="1">
          <a:off x="3774283" y="7392352"/>
          <a:ext cx="0" cy="4895852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208" name="Line 169"/>
        <xdr:cNvSpPr>
          <a:spLocks noChangeShapeType="1"/>
        </xdr:cNvSpPr>
      </xdr:nvSpPr>
      <xdr:spPr bwMode="auto">
        <a:xfrm flipV="1">
          <a:off x="3861436" y="3457573"/>
          <a:ext cx="0" cy="35814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209" name="Line 169"/>
        <xdr:cNvSpPr>
          <a:spLocks noChangeShapeType="1"/>
        </xdr:cNvSpPr>
      </xdr:nvSpPr>
      <xdr:spPr bwMode="auto">
        <a:xfrm rot="5400000" flipV="1">
          <a:off x="3821909" y="3129916"/>
          <a:ext cx="0" cy="4895852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81915</xdr:colOff>
      <xdr:row>28</xdr:row>
      <xdr:rowOff>9523</xdr:rowOff>
    </xdr:from>
    <xdr:to>
      <xdr:col>20</xdr:col>
      <xdr:colOff>89535</xdr:colOff>
      <xdr:row>41</xdr:row>
      <xdr:rowOff>247649</xdr:rowOff>
    </xdr:to>
    <xdr:sp macro="" textlink="">
      <xdr:nvSpPr>
        <xdr:cNvPr id="2" name="Line 169"/>
        <xdr:cNvSpPr>
          <a:spLocks noChangeShapeType="1"/>
        </xdr:cNvSpPr>
      </xdr:nvSpPr>
      <xdr:spPr bwMode="auto">
        <a:xfrm flipV="1">
          <a:off x="4082415" y="7896223"/>
          <a:ext cx="7620" cy="3457576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35</xdr:row>
      <xdr:rowOff>136684</xdr:rowOff>
    </xdr:from>
    <xdr:to>
      <xdr:col>33</xdr:col>
      <xdr:colOff>161928</xdr:colOff>
      <xdr:row>35</xdr:row>
      <xdr:rowOff>136684</xdr:rowOff>
    </xdr:to>
    <xdr:sp macro="" textlink="">
      <xdr:nvSpPr>
        <xdr:cNvPr id="3" name="Line 169"/>
        <xdr:cNvSpPr>
          <a:spLocks noChangeShapeType="1"/>
        </xdr:cNvSpPr>
      </xdr:nvSpPr>
      <xdr:spPr bwMode="auto">
        <a:xfrm rot="5400000" flipV="1">
          <a:off x="4119565" y="7113745"/>
          <a:ext cx="0" cy="5286377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108586</xdr:colOff>
      <xdr:row>10</xdr:row>
      <xdr:rowOff>95248</xdr:rowOff>
    </xdr:from>
    <xdr:to>
      <xdr:col>20</xdr:col>
      <xdr:colOff>108586</xdr:colOff>
      <xdr:row>26</xdr:row>
      <xdr:rowOff>257174</xdr:rowOff>
    </xdr:to>
    <xdr:sp macro="" textlink="">
      <xdr:nvSpPr>
        <xdr:cNvPr id="4" name="Line 169"/>
        <xdr:cNvSpPr>
          <a:spLocks noChangeShapeType="1"/>
        </xdr:cNvSpPr>
      </xdr:nvSpPr>
      <xdr:spPr bwMode="auto">
        <a:xfrm flipV="1">
          <a:off x="4109086" y="3524248"/>
          <a:ext cx="0" cy="4114801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123827</xdr:colOff>
      <xdr:row>18</xdr:row>
      <xdr:rowOff>124779</xdr:rowOff>
    </xdr:from>
    <xdr:to>
      <xdr:col>34</xdr:col>
      <xdr:colOff>30960</xdr:colOff>
      <xdr:row>18</xdr:row>
      <xdr:rowOff>124779</xdr:rowOff>
    </xdr:to>
    <xdr:sp macro="" textlink="">
      <xdr:nvSpPr>
        <xdr:cNvPr id="5" name="Line 169"/>
        <xdr:cNvSpPr>
          <a:spLocks noChangeShapeType="1"/>
        </xdr:cNvSpPr>
      </xdr:nvSpPr>
      <xdr:spPr bwMode="auto">
        <a:xfrm rot="5400000" flipV="1">
          <a:off x="4177906" y="2881075"/>
          <a:ext cx="0" cy="5307808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Y61"/>
  <sheetViews>
    <sheetView showGridLines="0" view="pageBreakPreview" zoomScale="85" zoomScaleNormal="100" zoomScaleSheetLayoutView="85" workbookViewId="0">
      <selection activeCell="S14" sqref="S14:AA14"/>
    </sheetView>
  </sheetViews>
  <sheetFormatPr defaultRowHeight="16.5"/>
  <cols>
    <col min="1" max="58" width="2.625" style="17" customWidth="1"/>
    <col min="59" max="59" width="8.875" style="17"/>
    <col min="60" max="60" width="15.5" style="17" bestFit="1" customWidth="1"/>
    <col min="61" max="61" width="8.875" style="17"/>
    <col min="62" max="62" width="9" style="17" customWidth="1"/>
    <col min="63" max="63" width="9" style="17"/>
    <col min="64" max="64" width="25.25" style="17" customWidth="1"/>
    <col min="65" max="65" width="22" style="17" bestFit="1" customWidth="1"/>
    <col min="66" max="66" width="8.875" style="17"/>
    <col min="67" max="67" width="16.125" style="17" bestFit="1" customWidth="1"/>
    <col min="68" max="68" width="14.625" style="17" customWidth="1"/>
    <col min="69" max="70" width="9" style="17" customWidth="1"/>
    <col min="71" max="259" width="8.875" style="17"/>
    <col min="260" max="315" width="2.125" style="17" customWidth="1"/>
    <col min="316" max="515" width="8.875" style="17"/>
    <col min="516" max="571" width="2.125" style="17" customWidth="1"/>
    <col min="572" max="771" width="8.875" style="17"/>
    <col min="772" max="827" width="2.125" style="17" customWidth="1"/>
    <col min="828" max="1027" width="8.875" style="17"/>
    <col min="1028" max="1083" width="2.125" style="17" customWidth="1"/>
    <col min="1084" max="1283" width="8.875" style="17"/>
    <col min="1284" max="1339" width="2.125" style="17" customWidth="1"/>
    <col min="1340" max="1539" width="8.875" style="17"/>
    <col min="1540" max="1595" width="2.125" style="17" customWidth="1"/>
    <col min="1596" max="1795" width="8.875" style="17"/>
    <col min="1796" max="1851" width="2.125" style="17" customWidth="1"/>
    <col min="1852" max="2051" width="8.875" style="17"/>
    <col min="2052" max="2107" width="2.125" style="17" customWidth="1"/>
    <col min="2108" max="2307" width="8.875" style="17"/>
    <col min="2308" max="2363" width="2.125" style="17" customWidth="1"/>
    <col min="2364" max="2563" width="8.875" style="17"/>
    <col min="2564" max="2619" width="2.125" style="17" customWidth="1"/>
    <col min="2620" max="2819" width="8.875" style="17"/>
    <col min="2820" max="2875" width="2.125" style="17" customWidth="1"/>
    <col min="2876" max="3075" width="8.875" style="17"/>
    <col min="3076" max="3131" width="2.125" style="17" customWidth="1"/>
    <col min="3132" max="3331" width="8.875" style="17"/>
    <col min="3332" max="3387" width="2.125" style="17" customWidth="1"/>
    <col min="3388" max="3587" width="8.875" style="17"/>
    <col min="3588" max="3643" width="2.125" style="17" customWidth="1"/>
    <col min="3644" max="3843" width="8.875" style="17"/>
    <col min="3844" max="3899" width="2.125" style="17" customWidth="1"/>
    <col min="3900" max="4099" width="8.875" style="17"/>
    <col min="4100" max="4155" width="2.125" style="17" customWidth="1"/>
    <col min="4156" max="4355" width="8.875" style="17"/>
    <col min="4356" max="4411" width="2.125" style="17" customWidth="1"/>
    <col min="4412" max="4611" width="8.875" style="17"/>
    <col min="4612" max="4667" width="2.125" style="17" customWidth="1"/>
    <col min="4668" max="4867" width="8.875" style="17"/>
    <col min="4868" max="4923" width="2.125" style="17" customWidth="1"/>
    <col min="4924" max="5123" width="8.875" style="17"/>
    <col min="5124" max="5179" width="2.125" style="17" customWidth="1"/>
    <col min="5180" max="5379" width="8.875" style="17"/>
    <col min="5380" max="5435" width="2.125" style="17" customWidth="1"/>
    <col min="5436" max="5635" width="8.875" style="17"/>
    <col min="5636" max="5691" width="2.125" style="17" customWidth="1"/>
    <col min="5692" max="5891" width="8.875" style="17"/>
    <col min="5892" max="5947" width="2.125" style="17" customWidth="1"/>
    <col min="5948" max="6147" width="8.875" style="17"/>
    <col min="6148" max="6203" width="2.125" style="17" customWidth="1"/>
    <col min="6204" max="6403" width="8.875" style="17"/>
    <col min="6404" max="6459" width="2.125" style="17" customWidth="1"/>
    <col min="6460" max="6659" width="8.875" style="17"/>
    <col min="6660" max="6715" width="2.125" style="17" customWidth="1"/>
    <col min="6716" max="6915" width="8.875" style="17"/>
    <col min="6916" max="6971" width="2.125" style="17" customWidth="1"/>
    <col min="6972" max="7171" width="8.875" style="17"/>
    <col min="7172" max="7227" width="2.125" style="17" customWidth="1"/>
    <col min="7228" max="7427" width="8.875" style="17"/>
    <col min="7428" max="7483" width="2.125" style="17" customWidth="1"/>
    <col min="7484" max="7683" width="8.875" style="17"/>
    <col min="7684" max="7739" width="2.125" style="17" customWidth="1"/>
    <col min="7740" max="7939" width="8.875" style="17"/>
    <col min="7940" max="7995" width="2.125" style="17" customWidth="1"/>
    <col min="7996" max="8195" width="8.875" style="17"/>
    <col min="8196" max="8251" width="2.125" style="17" customWidth="1"/>
    <col min="8252" max="8451" width="8.875" style="17"/>
    <col min="8452" max="8507" width="2.125" style="17" customWidth="1"/>
    <col min="8508" max="8707" width="8.875" style="17"/>
    <col min="8708" max="8763" width="2.125" style="17" customWidth="1"/>
    <col min="8764" max="8963" width="8.875" style="17"/>
    <col min="8964" max="9019" width="2.125" style="17" customWidth="1"/>
    <col min="9020" max="9219" width="8.875" style="17"/>
    <col min="9220" max="9275" width="2.125" style="17" customWidth="1"/>
    <col min="9276" max="9475" width="8.875" style="17"/>
    <col min="9476" max="9531" width="2.125" style="17" customWidth="1"/>
    <col min="9532" max="9731" width="8.875" style="17"/>
    <col min="9732" max="9787" width="2.125" style="17" customWidth="1"/>
    <col min="9788" max="9987" width="8.875" style="17"/>
    <col min="9988" max="10043" width="2.125" style="17" customWidth="1"/>
    <col min="10044" max="10243" width="8.875" style="17"/>
    <col min="10244" max="10299" width="2.125" style="17" customWidth="1"/>
    <col min="10300" max="10499" width="8.875" style="17"/>
    <col min="10500" max="10555" width="2.125" style="17" customWidth="1"/>
    <col min="10556" max="10755" width="8.875" style="17"/>
    <col min="10756" max="10811" width="2.125" style="17" customWidth="1"/>
    <col min="10812" max="11011" width="8.875" style="17"/>
    <col min="11012" max="11067" width="2.125" style="17" customWidth="1"/>
    <col min="11068" max="11267" width="8.875" style="17"/>
    <col min="11268" max="11323" width="2.125" style="17" customWidth="1"/>
    <col min="11324" max="11523" width="8.875" style="17"/>
    <col min="11524" max="11579" width="2.125" style="17" customWidth="1"/>
    <col min="11580" max="11779" width="8.875" style="17"/>
    <col min="11780" max="11835" width="2.125" style="17" customWidth="1"/>
    <col min="11836" max="12035" width="8.875" style="17"/>
    <col min="12036" max="12091" width="2.125" style="17" customWidth="1"/>
    <col min="12092" max="12291" width="8.875" style="17"/>
    <col min="12292" max="12347" width="2.125" style="17" customWidth="1"/>
    <col min="12348" max="12547" width="8.875" style="17"/>
    <col min="12548" max="12603" width="2.125" style="17" customWidth="1"/>
    <col min="12604" max="12803" width="8.875" style="17"/>
    <col min="12804" max="12859" width="2.125" style="17" customWidth="1"/>
    <col min="12860" max="13059" width="8.875" style="17"/>
    <col min="13060" max="13115" width="2.125" style="17" customWidth="1"/>
    <col min="13116" max="13315" width="8.875" style="17"/>
    <col min="13316" max="13371" width="2.125" style="17" customWidth="1"/>
    <col min="13372" max="13571" width="8.875" style="17"/>
    <col min="13572" max="13627" width="2.125" style="17" customWidth="1"/>
    <col min="13628" max="13827" width="8.875" style="17"/>
    <col min="13828" max="13883" width="2.125" style="17" customWidth="1"/>
    <col min="13884" max="14083" width="8.875" style="17"/>
    <col min="14084" max="14139" width="2.125" style="17" customWidth="1"/>
    <col min="14140" max="14339" width="8.875" style="17"/>
    <col min="14340" max="14395" width="2.125" style="17" customWidth="1"/>
    <col min="14396" max="14595" width="8.875" style="17"/>
    <col min="14596" max="14651" width="2.125" style="17" customWidth="1"/>
    <col min="14652" max="14851" width="8.875" style="17"/>
    <col min="14852" max="14907" width="2.125" style="17" customWidth="1"/>
    <col min="14908" max="15107" width="8.875" style="17"/>
    <col min="15108" max="15163" width="2.125" style="17" customWidth="1"/>
    <col min="15164" max="15363" width="8.875" style="17"/>
    <col min="15364" max="15419" width="2.125" style="17" customWidth="1"/>
    <col min="15420" max="15619" width="8.875" style="17"/>
    <col min="15620" max="15675" width="2.125" style="17" customWidth="1"/>
    <col min="15676" max="15875" width="8.875" style="17"/>
    <col min="15876" max="15931" width="2.125" style="17" customWidth="1"/>
    <col min="15932" max="16131" width="8.875" style="17"/>
    <col min="16132" max="16187" width="2.125" style="17" customWidth="1"/>
    <col min="16188" max="16381" width="8.875" style="17"/>
    <col min="16382" max="16384" width="8.875" style="17" customWidth="1"/>
  </cols>
  <sheetData>
    <row r="1" spans="1:77" ht="27" customHeight="1">
      <c r="A1" s="215" t="s">
        <v>271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7"/>
      <c r="AS1" s="221" t="s">
        <v>0</v>
      </c>
      <c r="AT1" s="222"/>
      <c r="AU1" s="222"/>
      <c r="AV1" s="222"/>
      <c r="AW1" s="222"/>
      <c r="AX1" s="222"/>
      <c r="AY1" s="222"/>
      <c r="AZ1" s="228">
        <v>1</v>
      </c>
      <c r="BA1" s="229"/>
      <c r="BB1" s="229"/>
      <c r="BC1" s="229"/>
      <c r="BD1" s="229"/>
      <c r="BE1" s="229"/>
      <c r="BF1" s="230"/>
    </row>
    <row r="2" spans="1:77" ht="27" customHeight="1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20"/>
      <c r="AS2" s="197" t="s">
        <v>36</v>
      </c>
      <c r="AT2" s="226"/>
      <c r="AU2" s="226"/>
      <c r="AV2" s="226"/>
      <c r="AW2" s="226"/>
      <c r="AX2" s="226"/>
      <c r="AY2" s="226"/>
      <c r="AZ2" s="231" t="s">
        <v>264</v>
      </c>
      <c r="BA2" s="232"/>
      <c r="BB2" s="232"/>
      <c r="BC2" s="232"/>
      <c r="BD2" s="232"/>
      <c r="BE2" s="232"/>
      <c r="BF2" s="233"/>
      <c r="BH2" s="100"/>
      <c r="BI2" s="17" t="s">
        <v>86</v>
      </c>
      <c r="BJ2" s="17" t="s">
        <v>127</v>
      </c>
      <c r="BK2" s="17" t="s">
        <v>125</v>
      </c>
      <c r="BL2" s="17" t="s">
        <v>181</v>
      </c>
      <c r="BM2" s="17" t="s">
        <v>142</v>
      </c>
      <c r="BN2" s="94" t="s">
        <v>100</v>
      </c>
      <c r="BO2" s="94" t="s">
        <v>133</v>
      </c>
      <c r="BP2" s="95" t="s">
        <v>103</v>
      </c>
      <c r="BQ2" s="96" t="s">
        <v>104</v>
      </c>
      <c r="BR2" s="96">
        <v>100</v>
      </c>
      <c r="BS2" s="94" t="s">
        <v>107</v>
      </c>
      <c r="BT2" s="94" t="s">
        <v>109</v>
      </c>
      <c r="BU2" s="97" t="s">
        <v>112</v>
      </c>
      <c r="BV2" s="17">
        <v>8</v>
      </c>
      <c r="BW2" s="17" t="s">
        <v>213</v>
      </c>
      <c r="BX2" s="17">
        <v>2100</v>
      </c>
      <c r="BY2" s="17" t="s">
        <v>234</v>
      </c>
    </row>
    <row r="3" spans="1:77" s="1" customFormat="1" ht="27" customHeight="1">
      <c r="A3" s="225" t="s">
        <v>1</v>
      </c>
      <c r="B3" s="226"/>
      <c r="C3" s="226"/>
      <c r="D3" s="226"/>
      <c r="E3" s="226"/>
      <c r="F3" s="226"/>
      <c r="G3" s="226"/>
      <c r="H3" s="226"/>
      <c r="I3" s="227" t="s">
        <v>279</v>
      </c>
      <c r="J3" s="226"/>
      <c r="K3" s="226"/>
      <c r="L3" s="226"/>
      <c r="M3" s="226"/>
      <c r="N3" s="226"/>
      <c r="O3" s="226"/>
      <c r="P3" s="226" t="s">
        <v>2</v>
      </c>
      <c r="Q3" s="226"/>
      <c r="R3" s="226"/>
      <c r="S3" s="226"/>
      <c r="T3" s="226"/>
      <c r="U3" s="226"/>
      <c r="V3" s="226"/>
      <c r="W3" s="226" t="s">
        <v>275</v>
      </c>
      <c r="X3" s="226"/>
      <c r="Y3" s="226"/>
      <c r="Z3" s="226"/>
      <c r="AA3" s="226"/>
      <c r="AB3" s="226"/>
      <c r="AC3" s="226"/>
      <c r="AD3" s="226" t="s">
        <v>223</v>
      </c>
      <c r="AE3" s="226"/>
      <c r="AF3" s="226"/>
      <c r="AG3" s="226"/>
      <c r="AH3" s="226"/>
      <c r="AI3" s="226"/>
      <c r="AJ3" s="226"/>
      <c r="AK3" s="226"/>
      <c r="AL3" s="194" t="s">
        <v>281</v>
      </c>
      <c r="AM3" s="195"/>
      <c r="AN3" s="195"/>
      <c r="AO3" s="195"/>
      <c r="AP3" s="195"/>
      <c r="AQ3" s="195"/>
      <c r="AR3" s="234"/>
      <c r="AS3" s="226" t="s">
        <v>3</v>
      </c>
      <c r="AT3" s="226"/>
      <c r="AU3" s="226"/>
      <c r="AV3" s="226"/>
      <c r="AW3" s="226"/>
      <c r="AX3" s="226"/>
      <c r="AY3" s="226"/>
      <c r="AZ3" s="245" t="s">
        <v>239</v>
      </c>
      <c r="BA3" s="245"/>
      <c r="BB3" s="245"/>
      <c r="BC3" s="245"/>
      <c r="BD3" s="245"/>
      <c r="BE3" s="245"/>
      <c r="BF3" s="246"/>
      <c r="BH3" s="100"/>
      <c r="BI3" s="1" t="s">
        <v>87</v>
      </c>
      <c r="BJ3" s="17"/>
      <c r="BK3" s="1" t="s">
        <v>126</v>
      </c>
      <c r="BL3" s="1" t="s">
        <v>182</v>
      </c>
      <c r="BM3" s="17" t="s">
        <v>143</v>
      </c>
      <c r="BN3" s="94" t="s">
        <v>101</v>
      </c>
      <c r="BO3" s="94" t="s">
        <v>134</v>
      </c>
      <c r="BP3" s="95" t="s">
        <v>102</v>
      </c>
      <c r="BQ3" s="96" t="s">
        <v>105</v>
      </c>
      <c r="BR3" s="96">
        <v>0.5</v>
      </c>
      <c r="BS3" s="94" t="s">
        <v>108</v>
      </c>
      <c r="BT3" s="101" t="s">
        <v>111</v>
      </c>
      <c r="BU3" s="97" t="s">
        <v>113</v>
      </c>
      <c r="BV3" s="1">
        <v>9</v>
      </c>
      <c r="BW3" s="1" t="s">
        <v>214</v>
      </c>
      <c r="BX3" s="1">
        <v>2500</v>
      </c>
      <c r="BY3" s="17" t="s">
        <v>236</v>
      </c>
    </row>
    <row r="4" spans="1:77" s="1" customFormat="1" ht="27" customHeight="1">
      <c r="A4" s="247" t="s">
        <v>39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7"/>
      <c r="AD4" s="2" t="s">
        <v>43</v>
      </c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223" t="s">
        <v>44</v>
      </c>
      <c r="BF4" s="81"/>
      <c r="BH4" s="100"/>
      <c r="BI4" s="17" t="s">
        <v>216</v>
      </c>
      <c r="BJ4" s="17"/>
      <c r="BL4" s="1" t="s">
        <v>183</v>
      </c>
      <c r="BM4" s="17" t="s">
        <v>144</v>
      </c>
      <c r="BN4" s="94"/>
      <c r="BO4" s="94"/>
      <c r="BP4" s="95"/>
      <c r="BQ4" s="96" t="s">
        <v>106</v>
      </c>
      <c r="BR4" s="96">
        <v>0.05</v>
      </c>
      <c r="BS4" s="94"/>
      <c r="BT4" s="94" t="s">
        <v>110</v>
      </c>
      <c r="BU4" s="97"/>
      <c r="BV4" s="1">
        <v>10</v>
      </c>
    </row>
    <row r="5" spans="1:77" s="1" customFormat="1" ht="27" customHeight="1">
      <c r="A5" s="247" t="s">
        <v>40</v>
      </c>
      <c r="B5" s="196"/>
      <c r="C5" s="196"/>
      <c r="D5" s="196"/>
      <c r="E5" s="196"/>
      <c r="F5" s="196"/>
      <c r="G5" s="196"/>
      <c r="H5" s="197"/>
      <c r="I5" s="194" t="s">
        <v>286</v>
      </c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234"/>
      <c r="AD5" s="147"/>
      <c r="AE5" s="148"/>
      <c r="AF5" s="148"/>
      <c r="AG5" s="148"/>
      <c r="AH5" s="148"/>
      <c r="AI5" s="148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224"/>
      <c r="BF5" s="81"/>
      <c r="BH5" s="100"/>
      <c r="BI5" s="17" t="s">
        <v>217</v>
      </c>
      <c r="BJ5" s="17"/>
      <c r="BL5" s="1" t="s">
        <v>184</v>
      </c>
      <c r="BM5" s="17" t="s">
        <v>89</v>
      </c>
      <c r="BT5" s="1" t="s">
        <v>194</v>
      </c>
      <c r="BU5" s="97"/>
      <c r="BV5" s="17">
        <v>11</v>
      </c>
    </row>
    <row r="6" spans="1:77" s="1" customFormat="1" ht="27" customHeight="1">
      <c r="A6" s="247" t="s">
        <v>41</v>
      </c>
      <c r="B6" s="196"/>
      <c r="C6" s="196"/>
      <c r="D6" s="196"/>
      <c r="E6" s="196"/>
      <c r="F6" s="196"/>
      <c r="G6" s="196"/>
      <c r="H6" s="197"/>
      <c r="I6" s="194" t="s">
        <v>276</v>
      </c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234"/>
      <c r="AD6" s="72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262" t="s">
        <v>45</v>
      </c>
      <c r="BF6" s="81"/>
      <c r="BH6" s="100"/>
      <c r="BI6" s="17" t="s">
        <v>218</v>
      </c>
      <c r="BJ6" s="17"/>
      <c r="BL6" s="1" t="s">
        <v>185</v>
      </c>
      <c r="BM6" s="1" t="s">
        <v>145</v>
      </c>
      <c r="BT6" s="1" t="s">
        <v>222</v>
      </c>
      <c r="BU6" s="97"/>
      <c r="BV6" s="1">
        <v>12</v>
      </c>
    </row>
    <row r="7" spans="1:77" s="1" customFormat="1" ht="27" customHeight="1">
      <c r="A7" s="248" t="s">
        <v>42</v>
      </c>
      <c r="B7" s="148"/>
      <c r="C7" s="148"/>
      <c r="D7" s="148"/>
      <c r="E7" s="148"/>
      <c r="F7" s="148"/>
      <c r="G7" s="148"/>
      <c r="H7" s="148"/>
      <c r="I7" s="249" t="s">
        <v>182</v>
      </c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50"/>
      <c r="AD7" s="72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262"/>
      <c r="BF7" s="81"/>
      <c r="BI7" s="17" t="s">
        <v>219</v>
      </c>
      <c r="BJ7" s="17"/>
      <c r="BL7" s="1" t="s">
        <v>186</v>
      </c>
      <c r="BM7" s="17" t="s">
        <v>146</v>
      </c>
      <c r="BU7" s="97"/>
      <c r="BV7" s="1">
        <v>13</v>
      </c>
    </row>
    <row r="8" spans="1:77" s="1" customFormat="1" ht="27" customHeight="1">
      <c r="A8" s="80"/>
      <c r="B8" s="71"/>
      <c r="C8" s="71"/>
      <c r="D8" s="71"/>
      <c r="E8" s="71"/>
      <c r="F8" s="71"/>
      <c r="G8" s="71"/>
      <c r="H8" s="71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263"/>
      <c r="BF8" s="73"/>
      <c r="BI8" s="17" t="s">
        <v>220</v>
      </c>
      <c r="BL8" s="1" t="s">
        <v>187</v>
      </c>
      <c r="BM8" s="22" t="s">
        <v>97</v>
      </c>
      <c r="BU8" s="97"/>
      <c r="BV8" s="17">
        <v>14</v>
      </c>
    </row>
    <row r="9" spans="1:77" ht="27" customHeight="1">
      <c r="A9" s="242" t="s">
        <v>4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6"/>
      <c r="BI9" s="17" t="s">
        <v>221</v>
      </c>
      <c r="BL9" s="17" t="s">
        <v>188</v>
      </c>
      <c r="BM9" s="1" t="s">
        <v>147</v>
      </c>
      <c r="BU9" s="97"/>
      <c r="BV9" s="1">
        <v>15</v>
      </c>
    </row>
    <row r="10" spans="1:77" ht="27" customHeight="1">
      <c r="A10" s="242" t="s">
        <v>5</v>
      </c>
      <c r="B10" s="243"/>
      <c r="C10" s="243"/>
      <c r="D10" s="243"/>
      <c r="E10" s="243"/>
      <c r="F10" s="243"/>
      <c r="G10" s="243"/>
      <c r="H10" s="244"/>
      <c r="I10" s="251" t="s">
        <v>278</v>
      </c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7"/>
      <c r="AD10" s="257" t="s">
        <v>6</v>
      </c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9"/>
      <c r="AS10" s="210" t="str">
        <f>IF($AZ$2=$BI$3,$BK$3,$BK$2)</f>
        <v>舒勒</v>
      </c>
      <c r="AT10" s="211"/>
      <c r="AU10" s="211"/>
      <c r="AV10" s="211"/>
      <c r="AW10" s="211"/>
      <c r="AX10" s="211"/>
      <c r="AY10" s="211"/>
      <c r="AZ10" s="211"/>
      <c r="BA10" s="211"/>
      <c r="BB10" s="211"/>
      <c r="BC10" s="211"/>
      <c r="BD10" s="168"/>
      <c r="BE10" s="168"/>
      <c r="BF10" s="209"/>
      <c r="BL10" s="17" t="s">
        <v>189</v>
      </c>
      <c r="BM10" s="17" t="s">
        <v>148</v>
      </c>
      <c r="BV10" s="1">
        <v>16</v>
      </c>
    </row>
    <row r="11" spans="1:77" ht="27" customHeight="1">
      <c r="A11" s="242" t="s">
        <v>7</v>
      </c>
      <c r="B11" s="243"/>
      <c r="C11" s="243"/>
      <c r="D11" s="243"/>
      <c r="E11" s="243"/>
      <c r="F11" s="243"/>
      <c r="G11" s="243"/>
      <c r="H11" s="244"/>
      <c r="I11" s="252" t="s">
        <v>240</v>
      </c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196"/>
      <c r="AC11" s="197"/>
      <c r="AD11" s="167" t="s">
        <v>49</v>
      </c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9"/>
      <c r="AS11" s="212">
        <v>12</v>
      </c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168" t="s">
        <v>115</v>
      </c>
      <c r="BE11" s="168"/>
      <c r="BF11" s="209"/>
      <c r="BI11" s="18"/>
      <c r="BJ11" s="18"/>
      <c r="BK11" s="18"/>
      <c r="BL11" s="17" t="s">
        <v>190</v>
      </c>
      <c r="BM11" s="1" t="s">
        <v>91</v>
      </c>
      <c r="BV11" s="17">
        <v>17</v>
      </c>
    </row>
    <row r="12" spans="1:77" ht="27" customHeight="1">
      <c r="A12" s="242" t="s">
        <v>9</v>
      </c>
      <c r="B12" s="243"/>
      <c r="C12" s="243"/>
      <c r="D12" s="243"/>
      <c r="E12" s="243"/>
      <c r="F12" s="243"/>
      <c r="G12" s="243"/>
      <c r="H12" s="244"/>
      <c r="I12" s="194">
        <v>48</v>
      </c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6" t="s">
        <v>10</v>
      </c>
      <c r="AC12" s="197"/>
      <c r="AD12" s="167" t="s">
        <v>50</v>
      </c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9"/>
      <c r="AS12" s="212">
        <v>4</v>
      </c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168" t="s">
        <v>116</v>
      </c>
      <c r="BE12" s="168"/>
      <c r="BF12" s="209"/>
      <c r="BL12" s="17" t="s">
        <v>191</v>
      </c>
      <c r="BM12" s="17" t="s">
        <v>88</v>
      </c>
    </row>
    <row r="13" spans="1:77" ht="27" customHeight="1">
      <c r="A13" s="192" t="s">
        <v>11</v>
      </c>
      <c r="B13" s="193"/>
      <c r="C13" s="193"/>
      <c r="D13" s="193"/>
      <c r="E13" s="193"/>
      <c r="F13" s="193"/>
      <c r="G13" s="193"/>
      <c r="H13" s="193"/>
      <c r="I13" s="194">
        <v>21</v>
      </c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6" t="s">
        <v>10</v>
      </c>
      <c r="AC13" s="197"/>
      <c r="AD13" s="167" t="s">
        <v>12</v>
      </c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9"/>
      <c r="AS13" s="212" t="s">
        <v>287</v>
      </c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168" t="s">
        <v>118</v>
      </c>
      <c r="BE13" s="168"/>
      <c r="BF13" s="209"/>
      <c r="BL13" s="17" t="s">
        <v>192</v>
      </c>
      <c r="BM13" s="17" t="s">
        <v>93</v>
      </c>
    </row>
    <row r="14" spans="1:77" ht="27" customHeight="1">
      <c r="A14" s="198" t="s">
        <v>13</v>
      </c>
      <c r="B14" s="199"/>
      <c r="C14" s="199"/>
      <c r="D14" s="199"/>
      <c r="E14" s="199"/>
      <c r="F14" s="199"/>
      <c r="G14" s="199"/>
      <c r="H14" s="200"/>
      <c r="I14" s="201">
        <v>1474.5</v>
      </c>
      <c r="J14" s="202"/>
      <c r="K14" s="202"/>
      <c r="L14" s="202"/>
      <c r="M14" s="202"/>
      <c r="N14" s="202"/>
      <c r="O14" s="202"/>
      <c r="P14" s="202"/>
      <c r="Q14" s="202"/>
      <c r="R14" s="202"/>
      <c r="S14" s="214" t="s">
        <v>257</v>
      </c>
      <c r="T14" s="214"/>
      <c r="U14" s="214"/>
      <c r="V14" s="214"/>
      <c r="W14" s="214"/>
      <c r="X14" s="214"/>
      <c r="Y14" s="214"/>
      <c r="Z14" s="214"/>
      <c r="AA14" s="214"/>
      <c r="AB14" s="196" t="s">
        <v>114</v>
      </c>
      <c r="AC14" s="197"/>
      <c r="AD14" s="167" t="s">
        <v>34</v>
      </c>
      <c r="AE14" s="168"/>
      <c r="AF14" s="168" t="s">
        <v>8</v>
      </c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9"/>
      <c r="AS14" s="210">
        <f>IF($AZ$2=BI$6,BX$3,BX$2)</f>
        <v>2100</v>
      </c>
      <c r="AT14" s="211"/>
      <c r="AU14" s="211"/>
      <c r="AV14" s="211"/>
      <c r="AW14" s="211"/>
      <c r="AX14" s="211"/>
      <c r="AY14" s="211"/>
      <c r="AZ14" s="211"/>
      <c r="BA14" s="211"/>
      <c r="BB14" s="211"/>
      <c r="BC14" s="211"/>
      <c r="BD14" s="168" t="s">
        <v>46</v>
      </c>
      <c r="BE14" s="168"/>
      <c r="BF14" s="209"/>
      <c r="BL14" s="17" t="s">
        <v>193</v>
      </c>
      <c r="BM14" s="17" t="s">
        <v>149</v>
      </c>
    </row>
    <row r="15" spans="1:77" ht="27" customHeight="1">
      <c r="A15" s="205" t="s">
        <v>14</v>
      </c>
      <c r="B15" s="206"/>
      <c r="C15" s="206"/>
      <c r="D15" s="206"/>
      <c r="E15" s="206"/>
      <c r="F15" s="206"/>
      <c r="G15" s="206"/>
      <c r="H15" s="207"/>
      <c r="I15" s="201">
        <v>1490</v>
      </c>
      <c r="J15" s="202"/>
      <c r="K15" s="202"/>
      <c r="L15" s="202"/>
      <c r="M15" s="202"/>
      <c r="N15" s="202"/>
      <c r="O15" s="202"/>
      <c r="P15" s="202"/>
      <c r="Q15" s="202"/>
      <c r="R15" s="202"/>
      <c r="S15" s="214"/>
      <c r="T15" s="214"/>
      <c r="U15" s="214"/>
      <c r="V15" s="214"/>
      <c r="W15" s="214"/>
      <c r="X15" s="214"/>
      <c r="Y15" s="214"/>
      <c r="Z15" s="214"/>
      <c r="AA15" s="214"/>
      <c r="AB15" s="196" t="s">
        <v>114</v>
      </c>
      <c r="AC15" s="197"/>
      <c r="AD15" s="167" t="s">
        <v>35</v>
      </c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9"/>
      <c r="AS15" s="210" t="s">
        <v>250</v>
      </c>
      <c r="AT15" s="211"/>
      <c r="AU15" s="211"/>
      <c r="AV15" s="211"/>
      <c r="AW15" s="211"/>
      <c r="AX15" s="211"/>
      <c r="AY15" s="211"/>
      <c r="AZ15" s="211"/>
      <c r="BA15" s="211"/>
      <c r="BB15" s="211"/>
      <c r="BC15" s="211"/>
      <c r="BD15" s="168" t="s">
        <v>215</v>
      </c>
      <c r="BE15" s="168"/>
      <c r="BF15" s="209"/>
      <c r="BM15" s="17" t="s">
        <v>98</v>
      </c>
    </row>
    <row r="16" spans="1:77" ht="18.75" customHeight="1">
      <c r="A16" s="19"/>
      <c r="B16" s="20"/>
      <c r="C16" s="20"/>
      <c r="D16" s="20"/>
      <c r="E16" s="20"/>
      <c r="F16" s="3"/>
      <c r="G16" s="78" t="s">
        <v>233</v>
      </c>
      <c r="H16" s="78">
        <v>-13</v>
      </c>
      <c r="I16" s="78">
        <v>-12</v>
      </c>
      <c r="J16" s="78">
        <v>-11</v>
      </c>
      <c r="K16" s="78">
        <v>-10</v>
      </c>
      <c r="L16" s="78">
        <v>-9</v>
      </c>
      <c r="M16" s="78">
        <v>-8</v>
      </c>
      <c r="N16" s="4">
        <v>-7</v>
      </c>
      <c r="O16" s="4">
        <v>-6</v>
      </c>
      <c r="P16" s="4">
        <v>-5</v>
      </c>
      <c r="Q16" s="4">
        <v>-4</v>
      </c>
      <c r="R16" s="4">
        <v>-3</v>
      </c>
      <c r="S16" s="4">
        <v>-2</v>
      </c>
      <c r="T16" s="4">
        <v>-1</v>
      </c>
      <c r="U16" s="4">
        <v>0</v>
      </c>
      <c r="V16" s="4">
        <v>1</v>
      </c>
      <c r="W16" s="4">
        <v>2</v>
      </c>
      <c r="X16" s="4">
        <v>3</v>
      </c>
      <c r="Y16" s="4">
        <v>4</v>
      </c>
      <c r="Z16" s="4">
        <v>5</v>
      </c>
      <c r="AA16" s="4">
        <v>6</v>
      </c>
      <c r="AB16" s="4">
        <v>7</v>
      </c>
      <c r="AC16" s="4">
        <v>8</v>
      </c>
      <c r="AD16" s="4">
        <v>9</v>
      </c>
      <c r="AE16" s="4">
        <v>10</v>
      </c>
      <c r="AF16" s="4">
        <v>11</v>
      </c>
      <c r="AG16" s="4">
        <v>12</v>
      </c>
      <c r="AH16" s="4">
        <v>13</v>
      </c>
      <c r="AI16" s="4">
        <v>14</v>
      </c>
      <c r="AJ16" s="5"/>
      <c r="AK16" s="21"/>
      <c r="AL16" s="21"/>
      <c r="AM16" s="21"/>
      <c r="AN16" s="20"/>
      <c r="AO16" s="20"/>
      <c r="AP16" s="20"/>
      <c r="AQ16" s="20"/>
      <c r="AR16" s="20"/>
      <c r="AS16" s="20"/>
      <c r="AT16" s="22"/>
      <c r="AU16" s="22" t="s">
        <v>15</v>
      </c>
      <c r="AV16" s="112"/>
      <c r="AW16" s="22"/>
      <c r="AX16" s="118" t="s">
        <v>16</v>
      </c>
      <c r="AY16" s="23" t="s">
        <v>17</v>
      </c>
      <c r="AZ16" s="22"/>
      <c r="BA16" s="22"/>
      <c r="BB16" s="22"/>
      <c r="BC16" s="122" t="s">
        <v>18</v>
      </c>
      <c r="BD16" s="22" t="s">
        <v>19</v>
      </c>
      <c r="BE16" s="22"/>
      <c r="BF16" s="25"/>
      <c r="BM16" s="17" t="s">
        <v>150</v>
      </c>
    </row>
    <row r="17" spans="1:65" ht="15" customHeight="1">
      <c r="A17" s="19"/>
      <c r="C17" s="87"/>
      <c r="D17" s="20"/>
      <c r="E17" s="20"/>
      <c r="F17" s="6">
        <v>7</v>
      </c>
      <c r="G17" s="123" t="s">
        <v>32</v>
      </c>
      <c r="H17" s="123" t="s">
        <v>32</v>
      </c>
      <c r="I17" s="123" t="s">
        <v>32</v>
      </c>
      <c r="J17" s="123" t="s">
        <v>32</v>
      </c>
      <c r="K17" s="123" t="s">
        <v>32</v>
      </c>
      <c r="L17" s="123" t="s">
        <v>32</v>
      </c>
      <c r="M17" s="123" t="s">
        <v>32</v>
      </c>
      <c r="N17" s="123" t="s">
        <v>32</v>
      </c>
      <c r="O17" s="123" t="s">
        <v>32</v>
      </c>
      <c r="P17" s="123" t="s">
        <v>32</v>
      </c>
      <c r="Q17" s="123" t="s">
        <v>32</v>
      </c>
      <c r="R17" s="123" t="s">
        <v>32</v>
      </c>
      <c r="S17" s="123" t="s">
        <v>32</v>
      </c>
      <c r="T17" s="123" t="s">
        <v>32</v>
      </c>
      <c r="U17" s="123" t="s">
        <v>32</v>
      </c>
      <c r="V17" s="123" t="s">
        <v>32</v>
      </c>
      <c r="W17" s="123" t="s">
        <v>32</v>
      </c>
      <c r="X17" s="123" t="s">
        <v>32</v>
      </c>
      <c r="Y17" s="123" t="s">
        <v>32</v>
      </c>
      <c r="Z17" s="123" t="s">
        <v>32</v>
      </c>
      <c r="AA17" s="123" t="s">
        <v>32</v>
      </c>
      <c r="AB17" s="123" t="s">
        <v>32</v>
      </c>
      <c r="AC17" s="123" t="s">
        <v>32</v>
      </c>
      <c r="AD17" s="123" t="s">
        <v>32</v>
      </c>
      <c r="AE17" s="123" t="s">
        <v>32</v>
      </c>
      <c r="AF17" s="123" t="s">
        <v>32</v>
      </c>
      <c r="AG17" s="123" t="s">
        <v>32</v>
      </c>
      <c r="AH17" s="123" t="s">
        <v>32</v>
      </c>
      <c r="AI17" s="123" t="s">
        <v>32</v>
      </c>
      <c r="AJ17" s="6">
        <v>7</v>
      </c>
      <c r="AK17" s="21"/>
      <c r="AL17" s="21"/>
      <c r="AM17" s="21"/>
      <c r="AN17" s="20"/>
      <c r="AO17" s="20"/>
      <c r="AP17" s="20"/>
      <c r="AQ17" s="20"/>
      <c r="AR17" s="20"/>
      <c r="AS17" s="20"/>
      <c r="AT17" s="22"/>
      <c r="AU17" s="22"/>
      <c r="AV17" s="22"/>
      <c r="AW17" s="22"/>
      <c r="AX17" s="110" t="s">
        <v>32</v>
      </c>
      <c r="AY17" s="22" t="s">
        <v>229</v>
      </c>
      <c r="AZ17" s="22"/>
      <c r="BA17" s="22"/>
      <c r="BB17" s="22"/>
      <c r="BC17" s="24"/>
      <c r="BD17" s="22"/>
      <c r="BE17" s="22"/>
      <c r="BF17" s="25"/>
      <c r="BM17" s="17" t="s">
        <v>90</v>
      </c>
    </row>
    <row r="18" spans="1:65" ht="15" customHeight="1">
      <c r="A18" s="19"/>
      <c r="B18" s="203" t="s">
        <v>228</v>
      </c>
      <c r="C18" s="203"/>
      <c r="D18" s="20"/>
      <c r="E18" s="20"/>
      <c r="F18" s="6">
        <v>6</v>
      </c>
      <c r="G18" s="123" t="s">
        <v>32</v>
      </c>
      <c r="H18" s="123" t="s">
        <v>32</v>
      </c>
      <c r="I18" s="40" t="s">
        <v>32</v>
      </c>
      <c r="J18" s="118" t="s">
        <v>16</v>
      </c>
      <c r="K18" s="40" t="s">
        <v>32</v>
      </c>
      <c r="L18" s="40" t="s">
        <v>32</v>
      </c>
      <c r="M18" s="40" t="s">
        <v>32</v>
      </c>
      <c r="N18" s="40" t="s">
        <v>32</v>
      </c>
      <c r="O18" s="40" t="s">
        <v>32</v>
      </c>
      <c r="P18" s="40" t="s">
        <v>32</v>
      </c>
      <c r="Q18" s="40" t="s">
        <v>267</v>
      </c>
      <c r="R18" s="40" t="s">
        <v>267</v>
      </c>
      <c r="S18" s="40" t="s">
        <v>32</v>
      </c>
      <c r="T18" s="40" t="s">
        <v>267</v>
      </c>
      <c r="U18" s="40" t="s">
        <v>32</v>
      </c>
      <c r="V18" s="40" t="s">
        <v>267</v>
      </c>
      <c r="W18" s="40" t="s">
        <v>32</v>
      </c>
      <c r="X18" s="40" t="s">
        <v>267</v>
      </c>
      <c r="Y18" s="40" t="s">
        <v>267</v>
      </c>
      <c r="Z18" s="40" t="s">
        <v>32</v>
      </c>
      <c r="AA18" s="40" t="s">
        <v>32</v>
      </c>
      <c r="AB18" s="40" t="s">
        <v>267</v>
      </c>
      <c r="AC18" s="40" t="s">
        <v>32</v>
      </c>
      <c r="AD18" s="40" t="s">
        <v>32</v>
      </c>
      <c r="AE18" s="40" t="s">
        <v>32</v>
      </c>
      <c r="AF18" s="118" t="s">
        <v>16</v>
      </c>
      <c r="AG18" s="40" t="s">
        <v>32</v>
      </c>
      <c r="AH18" s="123" t="s">
        <v>32</v>
      </c>
      <c r="AI18" s="123" t="s">
        <v>32</v>
      </c>
      <c r="AJ18" s="6">
        <v>6</v>
      </c>
      <c r="AK18" s="6"/>
      <c r="AL18" s="21"/>
      <c r="AM18" s="21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117"/>
      <c r="AY18" s="23"/>
      <c r="AZ18" s="20"/>
      <c r="BA18" s="20"/>
      <c r="BB18" s="20"/>
      <c r="BC18" s="20"/>
      <c r="BD18" s="20"/>
      <c r="BE18" s="20"/>
      <c r="BF18" s="26"/>
      <c r="BM18" s="17" t="s">
        <v>94</v>
      </c>
    </row>
    <row r="19" spans="1:65" ht="15" customHeight="1">
      <c r="A19" s="19"/>
      <c r="B19" s="203"/>
      <c r="C19" s="203"/>
      <c r="D19" s="20"/>
      <c r="E19" s="20"/>
      <c r="F19" s="6">
        <v>5</v>
      </c>
      <c r="G19" s="123" t="s">
        <v>32</v>
      </c>
      <c r="H19" s="123" t="s">
        <v>32</v>
      </c>
      <c r="I19" s="40" t="s">
        <v>32</v>
      </c>
      <c r="J19" s="40" t="s">
        <v>32</v>
      </c>
      <c r="K19" s="40" t="s">
        <v>32</v>
      </c>
      <c r="L19" s="40" t="s">
        <v>267</v>
      </c>
      <c r="M19" s="40" t="s">
        <v>32</v>
      </c>
      <c r="N19" s="40" t="s">
        <v>267</v>
      </c>
      <c r="O19" s="40" t="s">
        <v>267</v>
      </c>
      <c r="P19" s="40" t="s">
        <v>32</v>
      </c>
      <c r="Q19" s="40" t="s">
        <v>267</v>
      </c>
      <c r="R19" s="40" t="s">
        <v>32</v>
      </c>
      <c r="S19" s="40" t="s">
        <v>267</v>
      </c>
      <c r="T19" s="40" t="s">
        <v>32</v>
      </c>
      <c r="U19" s="40" t="s">
        <v>267</v>
      </c>
      <c r="V19" s="40" t="s">
        <v>32</v>
      </c>
      <c r="W19" s="40" t="s">
        <v>267</v>
      </c>
      <c r="X19" s="40" t="s">
        <v>32</v>
      </c>
      <c r="Y19" s="40" t="s">
        <v>267</v>
      </c>
      <c r="Z19" s="40" t="s">
        <v>32</v>
      </c>
      <c r="AA19" s="40" t="s">
        <v>267</v>
      </c>
      <c r="AB19" s="40" t="s">
        <v>32</v>
      </c>
      <c r="AC19" s="40" t="s">
        <v>267</v>
      </c>
      <c r="AD19" s="40" t="s">
        <v>267</v>
      </c>
      <c r="AE19" s="40" t="s">
        <v>267</v>
      </c>
      <c r="AF19" s="40" t="s">
        <v>32</v>
      </c>
      <c r="AG19" s="40" t="s">
        <v>32</v>
      </c>
      <c r="AH19" s="123" t="s">
        <v>32</v>
      </c>
      <c r="AI19" s="123" t="s">
        <v>32</v>
      </c>
      <c r="AJ19" s="6">
        <v>5</v>
      </c>
      <c r="AK19" s="6"/>
      <c r="AL19" s="21"/>
      <c r="AM19" s="21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6"/>
      <c r="BM19" s="17" t="s">
        <v>151</v>
      </c>
    </row>
    <row r="20" spans="1:65" ht="15" customHeight="1">
      <c r="A20" s="19"/>
      <c r="B20" s="203"/>
      <c r="C20" s="203"/>
      <c r="D20" s="20"/>
      <c r="E20" s="20"/>
      <c r="F20" s="6">
        <v>4</v>
      </c>
      <c r="G20" s="123" t="s">
        <v>32</v>
      </c>
      <c r="H20" s="123" t="s">
        <v>32</v>
      </c>
      <c r="I20" s="40" t="s">
        <v>32</v>
      </c>
      <c r="J20" s="40" t="s">
        <v>32</v>
      </c>
      <c r="K20" s="40" t="s">
        <v>32</v>
      </c>
      <c r="L20" s="40" t="s">
        <v>32</v>
      </c>
      <c r="M20" s="40" t="s">
        <v>267</v>
      </c>
      <c r="N20" s="40" t="s">
        <v>267</v>
      </c>
      <c r="O20" s="40" t="s">
        <v>32</v>
      </c>
      <c r="P20" s="40" t="s">
        <v>32</v>
      </c>
      <c r="Q20" s="40" t="s">
        <v>32</v>
      </c>
      <c r="R20" s="40" t="s">
        <v>32</v>
      </c>
      <c r="S20" s="40" t="s">
        <v>32</v>
      </c>
      <c r="T20" s="40" t="s">
        <v>32</v>
      </c>
      <c r="U20" s="40" t="s">
        <v>32</v>
      </c>
      <c r="V20" s="40" t="s">
        <v>32</v>
      </c>
      <c r="W20" s="40" t="s">
        <v>32</v>
      </c>
      <c r="X20" s="40" t="s">
        <v>32</v>
      </c>
      <c r="Y20" s="40" t="s">
        <v>32</v>
      </c>
      <c r="Z20" s="40" t="s">
        <v>32</v>
      </c>
      <c r="AA20" s="40" t="s">
        <v>32</v>
      </c>
      <c r="AB20" s="40" t="s">
        <v>32</v>
      </c>
      <c r="AC20" s="40" t="s">
        <v>32</v>
      </c>
      <c r="AD20" s="40" t="s">
        <v>32</v>
      </c>
      <c r="AE20" s="40" t="s">
        <v>267</v>
      </c>
      <c r="AF20" s="40" t="s">
        <v>32</v>
      </c>
      <c r="AG20" s="40" t="s">
        <v>32</v>
      </c>
      <c r="AH20" s="123" t="s">
        <v>32</v>
      </c>
      <c r="AI20" s="123" t="s">
        <v>32</v>
      </c>
      <c r="AJ20" s="6">
        <v>4</v>
      </c>
      <c r="AK20" s="6"/>
      <c r="AL20" s="21"/>
      <c r="AM20" s="21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6"/>
      <c r="BM20" s="17" t="s">
        <v>152</v>
      </c>
    </row>
    <row r="21" spans="1:65" ht="15" customHeight="1">
      <c r="A21" s="19"/>
      <c r="B21" s="203"/>
      <c r="C21" s="203"/>
      <c r="D21" s="20"/>
      <c r="E21" s="20"/>
      <c r="F21" s="6">
        <v>3</v>
      </c>
      <c r="G21" s="123" t="s">
        <v>32</v>
      </c>
      <c r="H21" s="123" t="s">
        <v>32</v>
      </c>
      <c r="I21" s="40" t="s">
        <v>32</v>
      </c>
      <c r="J21" s="40" t="s">
        <v>32</v>
      </c>
      <c r="K21" s="40" t="s">
        <v>267</v>
      </c>
      <c r="L21" s="40" t="s">
        <v>267</v>
      </c>
      <c r="M21" s="40" t="s">
        <v>32</v>
      </c>
      <c r="N21" s="40" t="s">
        <v>32</v>
      </c>
      <c r="O21" s="40" t="s">
        <v>32</v>
      </c>
      <c r="P21" s="40" t="s">
        <v>32</v>
      </c>
      <c r="Q21" s="40" t="s">
        <v>32</v>
      </c>
      <c r="R21" s="40" t="s">
        <v>32</v>
      </c>
      <c r="S21" s="40" t="s">
        <v>32</v>
      </c>
      <c r="T21" s="40" t="s">
        <v>32</v>
      </c>
      <c r="U21" s="40" t="s">
        <v>32</v>
      </c>
      <c r="V21" s="40" t="s">
        <v>32</v>
      </c>
      <c r="W21" s="40" t="s">
        <v>32</v>
      </c>
      <c r="X21" s="40" t="s">
        <v>32</v>
      </c>
      <c r="Y21" s="40" t="s">
        <v>32</v>
      </c>
      <c r="Z21" s="40" t="s">
        <v>32</v>
      </c>
      <c r="AA21" s="40" t="s">
        <v>32</v>
      </c>
      <c r="AB21" s="40" t="s">
        <v>32</v>
      </c>
      <c r="AC21" s="40" t="s">
        <v>32</v>
      </c>
      <c r="AD21" s="40" t="s">
        <v>32</v>
      </c>
      <c r="AE21" s="40" t="s">
        <v>32</v>
      </c>
      <c r="AF21" s="40" t="s">
        <v>267</v>
      </c>
      <c r="AG21" s="40" t="s">
        <v>32</v>
      </c>
      <c r="AH21" s="123" t="s">
        <v>32</v>
      </c>
      <c r="AI21" s="123" t="s">
        <v>32</v>
      </c>
      <c r="AJ21" s="6">
        <v>3</v>
      </c>
      <c r="AK21" s="6"/>
      <c r="AL21" s="21"/>
      <c r="AM21" s="204" t="s">
        <v>20</v>
      </c>
      <c r="AN21" s="20"/>
      <c r="AO21" s="20"/>
      <c r="AP21" s="20"/>
      <c r="AQ21" s="20"/>
      <c r="AR21" s="20"/>
      <c r="AS21" s="76"/>
      <c r="AT21" s="158" t="s">
        <v>47</v>
      </c>
      <c r="AU21" s="159"/>
      <c r="AV21" s="159"/>
      <c r="AW21" s="159"/>
      <c r="AX21" s="159"/>
      <c r="AY21" s="159"/>
      <c r="AZ21" s="160"/>
      <c r="BA21" s="156" t="s">
        <v>212</v>
      </c>
      <c r="BB21" s="156"/>
      <c r="BC21" s="156"/>
      <c r="BD21" s="156"/>
      <c r="BE21" s="156"/>
      <c r="BF21" s="157"/>
      <c r="BM21" s="17" t="s">
        <v>153</v>
      </c>
    </row>
    <row r="22" spans="1:65" ht="15" customHeight="1">
      <c r="A22" s="19"/>
      <c r="B22" s="203"/>
      <c r="C22" s="203"/>
      <c r="D22" s="20"/>
      <c r="E22" s="20"/>
      <c r="F22" s="6">
        <v>2</v>
      </c>
      <c r="G22" s="123" t="s">
        <v>32</v>
      </c>
      <c r="H22" s="123" t="s">
        <v>32</v>
      </c>
      <c r="I22" s="40" t="s">
        <v>32</v>
      </c>
      <c r="J22" s="40" t="s">
        <v>267</v>
      </c>
      <c r="K22" s="40" t="s">
        <v>32</v>
      </c>
      <c r="L22" s="40" t="s">
        <v>32</v>
      </c>
      <c r="M22" s="40" t="s">
        <v>32</v>
      </c>
      <c r="N22" s="40" t="s">
        <v>32</v>
      </c>
      <c r="O22" s="40" t="s">
        <v>32</v>
      </c>
      <c r="P22" s="40" t="s">
        <v>32</v>
      </c>
      <c r="Q22" s="40" t="s">
        <v>32</v>
      </c>
      <c r="R22" s="40" t="s">
        <v>32</v>
      </c>
      <c r="S22" s="40" t="s">
        <v>267</v>
      </c>
      <c r="T22" s="40" t="s">
        <v>267</v>
      </c>
      <c r="U22" s="40" t="s">
        <v>267</v>
      </c>
      <c r="V22" s="40" t="s">
        <v>32</v>
      </c>
      <c r="W22" s="40" t="s">
        <v>32</v>
      </c>
      <c r="X22" s="40" t="s">
        <v>267</v>
      </c>
      <c r="Y22" s="40" t="s">
        <v>267</v>
      </c>
      <c r="Z22" s="40" t="s">
        <v>267</v>
      </c>
      <c r="AA22" s="40" t="s">
        <v>267</v>
      </c>
      <c r="AB22" s="40" t="s">
        <v>32</v>
      </c>
      <c r="AC22" s="40" t="s">
        <v>32</v>
      </c>
      <c r="AD22" s="40" t="s">
        <v>32</v>
      </c>
      <c r="AE22" s="40" t="s">
        <v>267</v>
      </c>
      <c r="AF22" s="40" t="s">
        <v>32</v>
      </c>
      <c r="AG22" s="40" t="s">
        <v>32</v>
      </c>
      <c r="AH22" s="123" t="s">
        <v>32</v>
      </c>
      <c r="AI22" s="123" t="s">
        <v>32</v>
      </c>
      <c r="AJ22" s="6">
        <v>2</v>
      </c>
      <c r="AK22" s="6"/>
      <c r="AL22" s="21"/>
      <c r="AM22" s="204"/>
      <c r="AN22" s="20"/>
      <c r="AO22" s="20"/>
      <c r="AP22" s="20"/>
      <c r="AQ22" s="20"/>
      <c r="AR22" s="20"/>
      <c r="AS22" s="20"/>
      <c r="AT22" s="183" t="s">
        <v>140</v>
      </c>
      <c r="AU22" s="184"/>
      <c r="AV22" s="184"/>
      <c r="AW22" s="184"/>
      <c r="AX22" s="184"/>
      <c r="AY22" s="184"/>
      <c r="AZ22" s="99">
        <v>1</v>
      </c>
      <c r="BA22" s="161" t="s">
        <v>259</v>
      </c>
      <c r="BB22" s="162"/>
      <c r="BC22" s="163">
        <v>320</v>
      </c>
      <c r="BD22" s="164"/>
      <c r="BE22" s="165" t="s">
        <v>260</v>
      </c>
      <c r="BF22" s="166"/>
      <c r="BM22" s="17" t="s">
        <v>154</v>
      </c>
    </row>
    <row r="23" spans="1:65" ht="15" customHeight="1">
      <c r="A23" s="19"/>
      <c r="B23" s="203"/>
      <c r="C23" s="203"/>
      <c r="D23" s="20"/>
      <c r="E23" s="20"/>
      <c r="F23" s="6">
        <v>1</v>
      </c>
      <c r="G23" s="123" t="s">
        <v>32</v>
      </c>
      <c r="H23" s="123" t="s">
        <v>32</v>
      </c>
      <c r="I23" s="40" t="s">
        <v>32</v>
      </c>
      <c r="J23" s="40" t="s">
        <v>32</v>
      </c>
      <c r="K23" s="40" t="s">
        <v>267</v>
      </c>
      <c r="L23" s="40" t="s">
        <v>32</v>
      </c>
      <c r="M23" s="40" t="s">
        <v>32</v>
      </c>
      <c r="N23" s="40" t="s">
        <v>32</v>
      </c>
      <c r="O23" s="40" t="s">
        <v>32</v>
      </c>
      <c r="P23" s="40" t="s">
        <v>32</v>
      </c>
      <c r="Q23" s="40" t="s">
        <v>32</v>
      </c>
      <c r="R23" s="40" t="s">
        <v>32</v>
      </c>
      <c r="S23" s="40" t="s">
        <v>267</v>
      </c>
      <c r="T23" s="40" t="s">
        <v>32</v>
      </c>
      <c r="U23" s="40" t="s">
        <v>267</v>
      </c>
      <c r="V23" s="40" t="s">
        <v>32</v>
      </c>
      <c r="W23" s="40" t="s">
        <v>32</v>
      </c>
      <c r="X23" s="40" t="s">
        <v>267</v>
      </c>
      <c r="Y23" s="40" t="s">
        <v>32</v>
      </c>
      <c r="Z23" s="40" t="s">
        <v>32</v>
      </c>
      <c r="AA23" s="40" t="s">
        <v>267</v>
      </c>
      <c r="AB23" s="40" t="s">
        <v>32</v>
      </c>
      <c r="AC23" s="40" t="s">
        <v>32</v>
      </c>
      <c r="AD23" s="40" t="s">
        <v>32</v>
      </c>
      <c r="AE23" s="40" t="s">
        <v>267</v>
      </c>
      <c r="AF23" s="40" t="s">
        <v>32</v>
      </c>
      <c r="AG23" s="40" t="s">
        <v>32</v>
      </c>
      <c r="AH23" s="123" t="s">
        <v>32</v>
      </c>
      <c r="AI23" s="123" t="s">
        <v>32</v>
      </c>
      <c r="AJ23" s="6">
        <v>1</v>
      </c>
      <c r="AK23" s="6"/>
      <c r="AL23" s="21"/>
      <c r="AM23" s="204"/>
      <c r="AN23" s="20"/>
      <c r="AO23" s="20"/>
      <c r="AP23" s="20"/>
      <c r="AQ23" s="20"/>
      <c r="AR23" s="20"/>
      <c r="AS23" s="20"/>
      <c r="AT23" s="185"/>
      <c r="AU23" s="186"/>
      <c r="AV23" s="186"/>
      <c r="AW23" s="186"/>
      <c r="AX23" s="186"/>
      <c r="AY23" s="186"/>
      <c r="AZ23" s="99">
        <v>2</v>
      </c>
      <c r="BA23" s="161" t="s">
        <v>259</v>
      </c>
      <c r="BB23" s="162"/>
      <c r="BC23" s="163">
        <v>300</v>
      </c>
      <c r="BD23" s="164"/>
      <c r="BE23" s="165" t="s">
        <v>260</v>
      </c>
      <c r="BF23" s="166"/>
      <c r="BM23" s="17" t="s">
        <v>155</v>
      </c>
    </row>
    <row r="24" spans="1:65" ht="15" customHeight="1">
      <c r="A24" s="19"/>
      <c r="B24" s="203"/>
      <c r="C24" s="203"/>
      <c r="D24" s="20"/>
      <c r="E24" s="20"/>
      <c r="F24" s="6">
        <v>0</v>
      </c>
      <c r="G24" s="123" t="s">
        <v>32</v>
      </c>
      <c r="H24" s="123" t="s">
        <v>32</v>
      </c>
      <c r="I24" s="40" t="s">
        <v>32</v>
      </c>
      <c r="J24" s="40" t="s">
        <v>267</v>
      </c>
      <c r="K24" s="40" t="s">
        <v>32</v>
      </c>
      <c r="L24" s="40" t="s">
        <v>32</v>
      </c>
      <c r="M24" s="40" t="s">
        <v>32</v>
      </c>
      <c r="N24" s="40" t="s">
        <v>32</v>
      </c>
      <c r="O24" s="40" t="s">
        <v>32</v>
      </c>
      <c r="P24" s="40" t="s">
        <v>32</v>
      </c>
      <c r="Q24" s="40" t="s">
        <v>32</v>
      </c>
      <c r="R24" s="40" t="s">
        <v>267</v>
      </c>
      <c r="S24" s="40" t="s">
        <v>32</v>
      </c>
      <c r="T24" s="40" t="s">
        <v>267</v>
      </c>
      <c r="U24" s="40" t="s">
        <v>32</v>
      </c>
      <c r="V24" s="40" t="s">
        <v>32</v>
      </c>
      <c r="W24" s="40" t="s">
        <v>32</v>
      </c>
      <c r="X24" s="40" t="s">
        <v>267</v>
      </c>
      <c r="Y24" s="40" t="s">
        <v>32</v>
      </c>
      <c r="Z24" s="40" t="s">
        <v>267</v>
      </c>
      <c r="AA24" s="40" t="s">
        <v>267</v>
      </c>
      <c r="AB24" s="40" t="s">
        <v>32</v>
      </c>
      <c r="AC24" s="40" t="s">
        <v>32</v>
      </c>
      <c r="AD24" s="40" t="s">
        <v>32</v>
      </c>
      <c r="AE24" s="40" t="s">
        <v>32</v>
      </c>
      <c r="AF24" s="40" t="s">
        <v>267</v>
      </c>
      <c r="AG24" s="40" t="s">
        <v>32</v>
      </c>
      <c r="AH24" s="123" t="s">
        <v>32</v>
      </c>
      <c r="AI24" s="123" t="s">
        <v>32</v>
      </c>
      <c r="AJ24" s="6">
        <v>0</v>
      </c>
      <c r="AK24" s="6"/>
      <c r="AL24" s="21"/>
      <c r="AM24" s="208" t="s">
        <v>48</v>
      </c>
      <c r="AN24" s="20"/>
      <c r="AO24" s="27"/>
      <c r="AP24" s="22"/>
      <c r="AQ24" s="22"/>
      <c r="AR24" s="22"/>
      <c r="AS24" s="20"/>
      <c r="AT24" s="185"/>
      <c r="AU24" s="186"/>
      <c r="AV24" s="186"/>
      <c r="AW24" s="186"/>
      <c r="AX24" s="186"/>
      <c r="AY24" s="186"/>
      <c r="AZ24" s="99">
        <v>3</v>
      </c>
      <c r="BA24" s="161" t="s">
        <v>259</v>
      </c>
      <c r="BB24" s="162"/>
      <c r="BC24" s="163">
        <v>320</v>
      </c>
      <c r="BD24" s="164"/>
      <c r="BE24" s="165" t="s">
        <v>260</v>
      </c>
      <c r="BF24" s="166"/>
      <c r="BM24" s="17" t="s">
        <v>156</v>
      </c>
    </row>
    <row r="25" spans="1:65" ht="15" customHeight="1">
      <c r="A25" s="19"/>
      <c r="B25" s="203"/>
      <c r="C25" s="203"/>
      <c r="D25" s="20"/>
      <c r="E25" s="20"/>
      <c r="F25" s="6">
        <v>-1</v>
      </c>
      <c r="G25" s="123" t="s">
        <v>32</v>
      </c>
      <c r="H25" s="123" t="s">
        <v>32</v>
      </c>
      <c r="I25" s="40" t="s">
        <v>32</v>
      </c>
      <c r="J25" s="40" t="s">
        <v>32</v>
      </c>
      <c r="K25" s="40" t="s">
        <v>267</v>
      </c>
      <c r="L25" s="40" t="s">
        <v>32</v>
      </c>
      <c r="M25" s="40" t="s">
        <v>32</v>
      </c>
      <c r="N25" s="40" t="s">
        <v>32</v>
      </c>
      <c r="O25" s="40" t="s">
        <v>32</v>
      </c>
      <c r="P25" s="40" t="s">
        <v>32</v>
      </c>
      <c r="Q25" s="40" t="s">
        <v>32</v>
      </c>
      <c r="R25" s="40" t="s">
        <v>267</v>
      </c>
      <c r="S25" s="40" t="s">
        <v>32</v>
      </c>
      <c r="T25" s="40" t="s">
        <v>267</v>
      </c>
      <c r="U25" s="40" t="s">
        <v>32</v>
      </c>
      <c r="V25" s="40" t="s">
        <v>32</v>
      </c>
      <c r="W25" s="40" t="s">
        <v>32</v>
      </c>
      <c r="X25" s="40" t="s">
        <v>267</v>
      </c>
      <c r="Y25" s="40" t="s">
        <v>32</v>
      </c>
      <c r="Z25" s="40" t="s">
        <v>267</v>
      </c>
      <c r="AA25" s="40" t="s">
        <v>267</v>
      </c>
      <c r="AB25" s="40" t="s">
        <v>32</v>
      </c>
      <c r="AC25" s="40" t="s">
        <v>32</v>
      </c>
      <c r="AD25" s="40" t="s">
        <v>32</v>
      </c>
      <c r="AE25" s="40" t="s">
        <v>267</v>
      </c>
      <c r="AF25" s="40" t="s">
        <v>32</v>
      </c>
      <c r="AG25" s="40" t="s">
        <v>32</v>
      </c>
      <c r="AH25" s="123" t="s">
        <v>32</v>
      </c>
      <c r="AI25" s="123" t="s">
        <v>32</v>
      </c>
      <c r="AJ25" s="6">
        <v>-1</v>
      </c>
      <c r="AK25" s="6"/>
      <c r="AL25" s="21"/>
      <c r="AM25" s="208"/>
      <c r="AN25" s="20"/>
      <c r="AO25" s="22"/>
      <c r="AP25" s="22"/>
      <c r="AQ25" s="22"/>
      <c r="AR25" s="22"/>
      <c r="AS25" s="20"/>
      <c r="AT25" s="185"/>
      <c r="AU25" s="186"/>
      <c r="AV25" s="186"/>
      <c r="AW25" s="186"/>
      <c r="AX25" s="186"/>
      <c r="AY25" s="186"/>
      <c r="AZ25" s="99">
        <v>4</v>
      </c>
      <c r="BA25" s="161" t="s">
        <v>259</v>
      </c>
      <c r="BB25" s="162"/>
      <c r="BC25" s="163">
        <v>300</v>
      </c>
      <c r="BD25" s="164"/>
      <c r="BE25" s="165" t="s">
        <v>260</v>
      </c>
      <c r="BF25" s="166"/>
      <c r="BM25" s="17" t="s">
        <v>157</v>
      </c>
    </row>
    <row r="26" spans="1:65" ht="15" customHeight="1">
      <c r="A26" s="19"/>
      <c r="B26" s="203"/>
      <c r="C26" s="203"/>
      <c r="D26" s="20"/>
      <c r="E26" s="20"/>
      <c r="F26" s="6">
        <v>-2</v>
      </c>
      <c r="G26" s="123" t="s">
        <v>32</v>
      </c>
      <c r="H26" s="123" t="s">
        <v>32</v>
      </c>
      <c r="I26" s="40" t="s">
        <v>32</v>
      </c>
      <c r="J26" s="40" t="s">
        <v>267</v>
      </c>
      <c r="K26" s="40" t="s">
        <v>267</v>
      </c>
      <c r="L26" s="40" t="s">
        <v>32</v>
      </c>
      <c r="M26" s="40" t="s">
        <v>32</v>
      </c>
      <c r="N26" s="40" t="s">
        <v>32</v>
      </c>
      <c r="O26" s="40" t="s">
        <v>32</v>
      </c>
      <c r="P26" s="40" t="s">
        <v>32</v>
      </c>
      <c r="Q26" s="40" t="s">
        <v>32</v>
      </c>
      <c r="R26" s="40" t="s">
        <v>267</v>
      </c>
      <c r="S26" s="40" t="s">
        <v>267</v>
      </c>
      <c r="T26" s="40" t="s">
        <v>267</v>
      </c>
      <c r="U26" s="40" t="s">
        <v>32</v>
      </c>
      <c r="V26" s="40" t="s">
        <v>32</v>
      </c>
      <c r="W26" s="40" t="s">
        <v>267</v>
      </c>
      <c r="X26" s="40" t="s">
        <v>267</v>
      </c>
      <c r="Y26" s="40" t="s">
        <v>267</v>
      </c>
      <c r="Z26" s="40" t="s">
        <v>32</v>
      </c>
      <c r="AA26" s="40" t="s">
        <v>32</v>
      </c>
      <c r="AB26" s="40" t="s">
        <v>32</v>
      </c>
      <c r="AC26" s="40" t="s">
        <v>32</v>
      </c>
      <c r="AD26" s="40" t="s">
        <v>267</v>
      </c>
      <c r="AE26" s="40" t="s">
        <v>32</v>
      </c>
      <c r="AF26" s="40" t="s">
        <v>267</v>
      </c>
      <c r="AG26" s="40" t="s">
        <v>32</v>
      </c>
      <c r="AH26" s="123" t="s">
        <v>32</v>
      </c>
      <c r="AI26" s="123" t="s">
        <v>32</v>
      </c>
      <c r="AJ26" s="6">
        <v>-2</v>
      </c>
      <c r="AK26" s="6"/>
      <c r="AL26" s="21"/>
      <c r="AM26" s="208"/>
      <c r="AN26" s="20"/>
      <c r="AO26" s="28"/>
      <c r="AP26" s="28"/>
      <c r="AQ26" s="28"/>
      <c r="AR26" s="28"/>
      <c r="AS26" s="20"/>
      <c r="AT26" s="185"/>
      <c r="AU26" s="186"/>
      <c r="AV26" s="186"/>
      <c r="AW26" s="186"/>
      <c r="AX26" s="186"/>
      <c r="AY26" s="186"/>
      <c r="AZ26" s="99">
        <v>5</v>
      </c>
      <c r="BA26" s="161" t="s">
        <v>259</v>
      </c>
      <c r="BB26" s="162"/>
      <c r="BC26" s="163">
        <v>320</v>
      </c>
      <c r="BD26" s="164"/>
      <c r="BE26" s="165" t="s">
        <v>260</v>
      </c>
      <c r="BF26" s="166"/>
      <c r="BM26" s="17" t="s">
        <v>158</v>
      </c>
    </row>
    <row r="27" spans="1:65" ht="15" customHeight="1">
      <c r="A27" s="19"/>
      <c r="B27" s="203"/>
      <c r="C27" s="203"/>
      <c r="D27" s="20"/>
      <c r="E27" s="20"/>
      <c r="F27" s="6">
        <v>-3</v>
      </c>
      <c r="G27" s="123" t="s">
        <v>32</v>
      </c>
      <c r="H27" s="123" t="s">
        <v>32</v>
      </c>
      <c r="I27" s="40" t="s">
        <v>32</v>
      </c>
      <c r="J27" s="40" t="s">
        <v>32</v>
      </c>
      <c r="K27" s="40" t="s">
        <v>267</v>
      </c>
      <c r="L27" s="40" t="s">
        <v>267</v>
      </c>
      <c r="M27" s="40" t="s">
        <v>32</v>
      </c>
      <c r="N27" s="40" t="s">
        <v>32</v>
      </c>
      <c r="O27" s="40" t="s">
        <v>32</v>
      </c>
      <c r="P27" s="40" t="s">
        <v>32</v>
      </c>
      <c r="Q27" s="40" t="s">
        <v>32</v>
      </c>
      <c r="R27" s="40" t="s">
        <v>32</v>
      </c>
      <c r="S27" s="40" t="s">
        <v>32</v>
      </c>
      <c r="T27" s="40" t="s">
        <v>32</v>
      </c>
      <c r="U27" s="40" t="s">
        <v>32</v>
      </c>
      <c r="V27" s="40" t="s">
        <v>32</v>
      </c>
      <c r="W27" s="40" t="s">
        <v>32</v>
      </c>
      <c r="X27" s="40" t="s">
        <v>32</v>
      </c>
      <c r="Y27" s="40" t="s">
        <v>32</v>
      </c>
      <c r="Z27" s="40" t="s">
        <v>32</v>
      </c>
      <c r="AA27" s="40" t="s">
        <v>32</v>
      </c>
      <c r="AB27" s="40" t="s">
        <v>32</v>
      </c>
      <c r="AC27" s="40" t="s">
        <v>267</v>
      </c>
      <c r="AD27" s="40" t="s">
        <v>32</v>
      </c>
      <c r="AE27" s="40" t="s">
        <v>32</v>
      </c>
      <c r="AF27" s="40" t="s">
        <v>32</v>
      </c>
      <c r="AG27" s="40" t="s">
        <v>32</v>
      </c>
      <c r="AH27" s="123" t="s">
        <v>32</v>
      </c>
      <c r="AI27" s="123" t="s">
        <v>32</v>
      </c>
      <c r="AJ27" s="6">
        <v>-3</v>
      </c>
      <c r="AK27" s="6"/>
      <c r="AL27" s="21"/>
      <c r="AM27" s="208"/>
      <c r="AN27" s="20"/>
      <c r="AO27" s="28"/>
      <c r="AP27" s="28"/>
      <c r="AQ27" s="28"/>
      <c r="AR27" s="28"/>
      <c r="AS27" s="20"/>
      <c r="AT27" s="185"/>
      <c r="AU27" s="186"/>
      <c r="AV27" s="186"/>
      <c r="AW27" s="186"/>
      <c r="AX27" s="186"/>
      <c r="AY27" s="186"/>
      <c r="AZ27" s="99">
        <v>6</v>
      </c>
      <c r="BA27" s="161" t="s">
        <v>259</v>
      </c>
      <c r="BB27" s="162"/>
      <c r="BC27" s="163">
        <v>300</v>
      </c>
      <c r="BD27" s="164"/>
      <c r="BE27" s="165" t="s">
        <v>260</v>
      </c>
      <c r="BF27" s="166"/>
      <c r="BM27" s="17" t="s">
        <v>159</v>
      </c>
    </row>
    <row r="28" spans="1:65" ht="15" customHeight="1">
      <c r="A28" s="19"/>
      <c r="B28" s="203"/>
      <c r="C28" s="203"/>
      <c r="D28" s="20"/>
      <c r="E28" s="20"/>
      <c r="F28" s="6">
        <v>-4</v>
      </c>
      <c r="G28" s="123" t="s">
        <v>32</v>
      </c>
      <c r="H28" s="123" t="s">
        <v>32</v>
      </c>
      <c r="I28" s="40" t="s">
        <v>32</v>
      </c>
      <c r="J28" s="40" t="s">
        <v>32</v>
      </c>
      <c r="K28" s="40" t="s">
        <v>32</v>
      </c>
      <c r="L28" s="40" t="s">
        <v>267</v>
      </c>
      <c r="M28" s="40" t="s">
        <v>267</v>
      </c>
      <c r="N28" s="40" t="s">
        <v>267</v>
      </c>
      <c r="O28" s="40" t="s">
        <v>32</v>
      </c>
      <c r="P28" s="40" t="s">
        <v>32</v>
      </c>
      <c r="Q28" s="40" t="s">
        <v>32</v>
      </c>
      <c r="R28" s="40" t="s">
        <v>32</v>
      </c>
      <c r="S28" s="40" t="s">
        <v>32</v>
      </c>
      <c r="T28" s="40" t="s">
        <v>32</v>
      </c>
      <c r="U28" s="40" t="s">
        <v>32</v>
      </c>
      <c r="V28" s="40" t="s">
        <v>32</v>
      </c>
      <c r="W28" s="40" t="s">
        <v>32</v>
      </c>
      <c r="X28" s="40" t="s">
        <v>32</v>
      </c>
      <c r="Y28" s="40" t="s">
        <v>32</v>
      </c>
      <c r="Z28" s="40" t="s">
        <v>32</v>
      </c>
      <c r="AA28" s="40" t="s">
        <v>267</v>
      </c>
      <c r="AB28" s="40" t="s">
        <v>267</v>
      </c>
      <c r="AC28" s="40" t="s">
        <v>32</v>
      </c>
      <c r="AD28" s="40" t="s">
        <v>267</v>
      </c>
      <c r="AE28" s="40" t="s">
        <v>32</v>
      </c>
      <c r="AF28" s="40" t="s">
        <v>32</v>
      </c>
      <c r="AG28" s="40" t="s">
        <v>32</v>
      </c>
      <c r="AH28" s="123" t="s">
        <v>32</v>
      </c>
      <c r="AI28" s="123" t="s">
        <v>32</v>
      </c>
      <c r="AJ28" s="6">
        <v>-4</v>
      </c>
      <c r="AK28" s="6"/>
      <c r="AL28" s="21"/>
      <c r="AM28" s="208"/>
      <c r="AN28" s="20"/>
      <c r="AO28" s="28"/>
      <c r="AP28" s="28"/>
      <c r="AQ28" s="28"/>
      <c r="AR28" s="28"/>
      <c r="AS28" s="20"/>
      <c r="AT28" s="185"/>
      <c r="AU28" s="186"/>
      <c r="AV28" s="186"/>
      <c r="AW28" s="186"/>
      <c r="AX28" s="186"/>
      <c r="AY28" s="186"/>
      <c r="AZ28" s="99">
        <v>7</v>
      </c>
      <c r="BA28" s="161" t="s">
        <v>259</v>
      </c>
      <c r="BB28" s="162"/>
      <c r="BC28" s="163">
        <v>320</v>
      </c>
      <c r="BD28" s="164"/>
      <c r="BE28" s="165" t="s">
        <v>260</v>
      </c>
      <c r="BF28" s="166"/>
      <c r="BM28" s="17" t="s">
        <v>160</v>
      </c>
    </row>
    <row r="29" spans="1:65" ht="15" customHeight="1">
      <c r="A29" s="19"/>
      <c r="B29" s="203"/>
      <c r="C29" s="203"/>
      <c r="D29" s="20"/>
      <c r="E29" s="20"/>
      <c r="F29" s="6">
        <v>-5</v>
      </c>
      <c r="G29" s="123" t="s">
        <v>32</v>
      </c>
      <c r="H29" s="123" t="s">
        <v>32</v>
      </c>
      <c r="I29" s="40" t="s">
        <v>32</v>
      </c>
      <c r="J29" s="40" t="s">
        <v>32</v>
      </c>
      <c r="K29" s="40" t="s">
        <v>32</v>
      </c>
      <c r="L29" s="40" t="s">
        <v>32</v>
      </c>
      <c r="M29" s="40" t="s">
        <v>267</v>
      </c>
      <c r="N29" s="40" t="s">
        <v>32</v>
      </c>
      <c r="O29" s="40" t="s">
        <v>267</v>
      </c>
      <c r="P29" s="40" t="s">
        <v>32</v>
      </c>
      <c r="Q29" s="40" t="s">
        <v>267</v>
      </c>
      <c r="R29" s="40" t="s">
        <v>32</v>
      </c>
      <c r="S29" s="40" t="s">
        <v>267</v>
      </c>
      <c r="T29" s="40" t="s">
        <v>32</v>
      </c>
      <c r="U29" s="40" t="s">
        <v>267</v>
      </c>
      <c r="V29" s="40" t="s">
        <v>32</v>
      </c>
      <c r="W29" s="40" t="s">
        <v>267</v>
      </c>
      <c r="X29" s="40" t="s">
        <v>32</v>
      </c>
      <c r="Y29" s="40" t="s">
        <v>267</v>
      </c>
      <c r="Z29" s="40" t="s">
        <v>32</v>
      </c>
      <c r="AA29" s="40" t="s">
        <v>267</v>
      </c>
      <c r="AB29" s="40" t="s">
        <v>32</v>
      </c>
      <c r="AC29" s="40" t="s">
        <v>267</v>
      </c>
      <c r="AD29" s="40" t="s">
        <v>32</v>
      </c>
      <c r="AE29" s="40" t="s">
        <v>32</v>
      </c>
      <c r="AF29" s="40" t="s">
        <v>32</v>
      </c>
      <c r="AG29" s="40" t="s">
        <v>32</v>
      </c>
      <c r="AH29" s="123" t="s">
        <v>32</v>
      </c>
      <c r="AI29" s="123" t="s">
        <v>32</v>
      </c>
      <c r="AJ29" s="6">
        <v>-5</v>
      </c>
      <c r="AK29" s="6"/>
      <c r="AL29" s="21"/>
      <c r="AM29" s="21"/>
      <c r="AN29" s="20"/>
      <c r="AO29" s="28"/>
      <c r="AP29" s="28"/>
      <c r="AQ29" s="28"/>
      <c r="AR29" s="28"/>
      <c r="AS29" s="20"/>
      <c r="AT29" s="187"/>
      <c r="AU29" s="188"/>
      <c r="AV29" s="188"/>
      <c r="AW29" s="188"/>
      <c r="AX29" s="188"/>
      <c r="AY29" s="188"/>
      <c r="AZ29" s="99">
        <v>8</v>
      </c>
      <c r="BA29" s="161" t="s">
        <v>259</v>
      </c>
      <c r="BB29" s="162"/>
      <c r="BC29" s="163">
        <v>280</v>
      </c>
      <c r="BD29" s="164"/>
      <c r="BE29" s="165" t="s">
        <v>260</v>
      </c>
      <c r="BF29" s="166"/>
      <c r="BM29" s="17" t="s">
        <v>161</v>
      </c>
    </row>
    <row r="30" spans="1:65" ht="15" customHeight="1">
      <c r="A30" s="19"/>
      <c r="B30" s="203"/>
      <c r="C30" s="203"/>
      <c r="D30" s="20"/>
      <c r="E30" s="20"/>
      <c r="F30" s="6">
        <v>-6</v>
      </c>
      <c r="G30" s="123" t="s">
        <v>32</v>
      </c>
      <c r="H30" s="123" t="s">
        <v>32</v>
      </c>
      <c r="I30" s="40" t="s">
        <v>32</v>
      </c>
      <c r="J30" s="118" t="s">
        <v>16</v>
      </c>
      <c r="K30" s="40" t="s">
        <v>32</v>
      </c>
      <c r="L30" s="40" t="s">
        <v>32</v>
      </c>
      <c r="M30" s="40" t="s">
        <v>32</v>
      </c>
      <c r="N30" s="40" t="s">
        <v>267</v>
      </c>
      <c r="O30" s="40" t="s">
        <v>32</v>
      </c>
      <c r="P30" s="40" t="s">
        <v>32</v>
      </c>
      <c r="Q30" s="40" t="s">
        <v>267</v>
      </c>
      <c r="R30" s="40" t="s">
        <v>267</v>
      </c>
      <c r="S30" s="40" t="s">
        <v>32</v>
      </c>
      <c r="T30" s="40" t="s">
        <v>267</v>
      </c>
      <c r="U30" s="40" t="s">
        <v>32</v>
      </c>
      <c r="V30" s="40" t="s">
        <v>267</v>
      </c>
      <c r="W30" s="40" t="s">
        <v>32</v>
      </c>
      <c r="X30" s="40" t="s">
        <v>267</v>
      </c>
      <c r="Y30" s="40" t="s">
        <v>267</v>
      </c>
      <c r="Z30" s="40" t="s">
        <v>32</v>
      </c>
      <c r="AA30" s="40" t="s">
        <v>32</v>
      </c>
      <c r="AB30" s="40" t="s">
        <v>32</v>
      </c>
      <c r="AC30" s="40" t="s">
        <v>32</v>
      </c>
      <c r="AD30" s="40" t="s">
        <v>32</v>
      </c>
      <c r="AE30" s="40" t="s">
        <v>32</v>
      </c>
      <c r="AF30" s="118" t="s">
        <v>16</v>
      </c>
      <c r="AG30" s="40" t="s">
        <v>32</v>
      </c>
      <c r="AH30" s="123" t="s">
        <v>32</v>
      </c>
      <c r="AI30" s="123" t="s">
        <v>32</v>
      </c>
      <c r="AJ30" s="6">
        <v>-6</v>
      </c>
      <c r="AK30" s="6"/>
      <c r="AL30" s="21"/>
      <c r="AM30" s="21"/>
      <c r="AN30" s="20"/>
      <c r="AO30" s="28"/>
      <c r="AP30" s="28"/>
      <c r="AQ30" s="28"/>
      <c r="AR30" s="28"/>
      <c r="AS30" s="20"/>
      <c r="AT30" s="167" t="s">
        <v>51</v>
      </c>
      <c r="AU30" s="168"/>
      <c r="AV30" s="168"/>
      <c r="AW30" s="168"/>
      <c r="AX30" s="168"/>
      <c r="AY30" s="168"/>
      <c r="AZ30" s="169"/>
      <c r="BA30" s="182">
        <v>89</v>
      </c>
      <c r="BB30" s="156"/>
      <c r="BC30" s="156"/>
      <c r="BD30" s="156"/>
      <c r="BE30" s="156"/>
      <c r="BF30" s="157"/>
      <c r="BM30" s="17" t="s">
        <v>162</v>
      </c>
    </row>
    <row r="31" spans="1:65" ht="15" customHeight="1">
      <c r="A31" s="19"/>
      <c r="B31" s="203"/>
      <c r="C31" s="203"/>
      <c r="D31" s="20"/>
      <c r="E31" s="20"/>
      <c r="F31" s="6">
        <v>-7</v>
      </c>
      <c r="G31" s="123" t="s">
        <v>32</v>
      </c>
      <c r="H31" s="123" t="s">
        <v>32</v>
      </c>
      <c r="I31" s="123" t="s">
        <v>32</v>
      </c>
      <c r="J31" s="123" t="s">
        <v>32</v>
      </c>
      <c r="K31" s="123" t="s">
        <v>32</v>
      </c>
      <c r="L31" s="123" t="s">
        <v>32</v>
      </c>
      <c r="M31" s="123" t="s">
        <v>32</v>
      </c>
      <c r="N31" s="123" t="s">
        <v>32</v>
      </c>
      <c r="O31" s="123" t="s">
        <v>32</v>
      </c>
      <c r="P31" s="123" t="s">
        <v>32</v>
      </c>
      <c r="Q31" s="123" t="s">
        <v>32</v>
      </c>
      <c r="R31" s="123" t="s">
        <v>32</v>
      </c>
      <c r="S31" s="123" t="s">
        <v>32</v>
      </c>
      <c r="T31" s="123" t="s">
        <v>32</v>
      </c>
      <c r="U31" s="123" t="s">
        <v>32</v>
      </c>
      <c r="V31" s="123" t="s">
        <v>32</v>
      </c>
      <c r="W31" s="123" t="s">
        <v>32</v>
      </c>
      <c r="X31" s="123" t="s">
        <v>32</v>
      </c>
      <c r="Y31" s="123" t="s">
        <v>32</v>
      </c>
      <c r="Z31" s="123" t="s">
        <v>32</v>
      </c>
      <c r="AA31" s="123" t="s">
        <v>32</v>
      </c>
      <c r="AB31" s="123" t="s">
        <v>32</v>
      </c>
      <c r="AC31" s="123" t="s">
        <v>32</v>
      </c>
      <c r="AD31" s="123" t="s">
        <v>32</v>
      </c>
      <c r="AE31" s="123" t="s">
        <v>32</v>
      </c>
      <c r="AF31" s="123" t="s">
        <v>32</v>
      </c>
      <c r="AG31" s="123" t="s">
        <v>32</v>
      </c>
      <c r="AH31" s="123" t="s">
        <v>32</v>
      </c>
      <c r="AI31" s="123" t="s">
        <v>32</v>
      </c>
      <c r="AJ31" s="6">
        <v>-7</v>
      </c>
      <c r="AK31" s="6"/>
      <c r="AL31" s="21"/>
      <c r="AM31" s="21"/>
      <c r="AN31" s="20"/>
      <c r="AO31" s="28"/>
      <c r="AP31" s="28"/>
      <c r="AQ31" s="28"/>
      <c r="AR31" s="28"/>
      <c r="AS31" s="20"/>
      <c r="AT31" s="172" t="s">
        <v>119</v>
      </c>
      <c r="AU31" s="173"/>
      <c r="AV31" s="173"/>
      <c r="AW31" s="173"/>
      <c r="AX31" s="173"/>
      <c r="AY31" s="173"/>
      <c r="AZ31" s="174"/>
      <c r="BA31" s="178">
        <v>215.9</v>
      </c>
      <c r="BB31" s="178"/>
      <c r="BC31" s="178"/>
      <c r="BD31" s="178"/>
      <c r="BE31" s="178"/>
      <c r="BF31" s="179"/>
      <c r="BM31" s="17" t="s">
        <v>163</v>
      </c>
    </row>
    <row r="32" spans="1:65" ht="18.75" customHeight="1">
      <c r="A32" s="19"/>
      <c r="B32" s="20"/>
      <c r="C32" s="20"/>
      <c r="D32" s="20"/>
      <c r="E32" s="20"/>
      <c r="F32" s="8"/>
      <c r="G32" s="77" t="s">
        <v>232</v>
      </c>
      <c r="H32" s="9">
        <v>-13</v>
      </c>
      <c r="I32" s="9">
        <v>-12</v>
      </c>
      <c r="J32" s="9">
        <v>-11</v>
      </c>
      <c r="K32" s="9">
        <v>-10</v>
      </c>
      <c r="L32" s="9">
        <v>-9</v>
      </c>
      <c r="M32" s="9">
        <v>-8</v>
      </c>
      <c r="N32" s="9">
        <v>-7</v>
      </c>
      <c r="O32" s="9">
        <v>-6</v>
      </c>
      <c r="P32" s="9">
        <v>-5</v>
      </c>
      <c r="Q32" s="9">
        <v>-4</v>
      </c>
      <c r="R32" s="9">
        <v>-3</v>
      </c>
      <c r="S32" s="10">
        <v>-2</v>
      </c>
      <c r="T32" s="10">
        <v>-1</v>
      </c>
      <c r="U32" s="10">
        <v>0</v>
      </c>
      <c r="V32" s="10">
        <v>1</v>
      </c>
      <c r="W32" s="10">
        <v>2</v>
      </c>
      <c r="X32" s="10">
        <v>3</v>
      </c>
      <c r="Y32" s="10">
        <v>4</v>
      </c>
      <c r="Z32" s="10">
        <v>5</v>
      </c>
      <c r="AA32" s="10">
        <v>6</v>
      </c>
      <c r="AB32" s="10">
        <v>7</v>
      </c>
      <c r="AC32" s="10">
        <v>8</v>
      </c>
      <c r="AD32" s="10">
        <v>9</v>
      </c>
      <c r="AE32" s="10">
        <v>10</v>
      </c>
      <c r="AF32" s="10">
        <v>11</v>
      </c>
      <c r="AG32" s="10">
        <v>12</v>
      </c>
      <c r="AH32" s="10">
        <v>13</v>
      </c>
      <c r="AI32" s="10">
        <v>14</v>
      </c>
      <c r="AJ32" s="11"/>
      <c r="AK32" s="29"/>
      <c r="AL32" s="29"/>
      <c r="AM32" s="29"/>
      <c r="AN32" s="30"/>
      <c r="AO32" s="31"/>
      <c r="AP32" s="31"/>
      <c r="AQ32" s="31"/>
      <c r="AR32" s="31"/>
      <c r="AS32" s="31"/>
      <c r="AT32" s="175"/>
      <c r="AU32" s="176"/>
      <c r="AV32" s="176"/>
      <c r="AW32" s="176"/>
      <c r="AX32" s="176"/>
      <c r="AY32" s="176"/>
      <c r="AZ32" s="177"/>
      <c r="BA32" s="180"/>
      <c r="BB32" s="180"/>
      <c r="BC32" s="180"/>
      <c r="BD32" s="180"/>
      <c r="BE32" s="180"/>
      <c r="BF32" s="181"/>
      <c r="BM32" s="17" t="s">
        <v>164</v>
      </c>
    </row>
    <row r="33" spans="1:65" ht="18.75" customHeight="1">
      <c r="A33" s="32"/>
      <c r="B33" s="33"/>
      <c r="C33" s="33"/>
      <c r="D33" s="33"/>
      <c r="E33" s="33"/>
      <c r="F33" s="34"/>
      <c r="G33" s="78"/>
      <c r="H33" s="35">
        <v>-13</v>
      </c>
      <c r="I33" s="35">
        <v>-12</v>
      </c>
      <c r="J33" s="35">
        <v>-11</v>
      </c>
      <c r="K33" s="35">
        <v>-10</v>
      </c>
      <c r="L33" s="36">
        <v>-9</v>
      </c>
      <c r="M33" s="36">
        <v>-8</v>
      </c>
      <c r="N33" s="36">
        <v>-7</v>
      </c>
      <c r="O33" s="36">
        <v>-6</v>
      </c>
      <c r="P33" s="36">
        <v>-5</v>
      </c>
      <c r="Q33" s="36">
        <v>-4</v>
      </c>
      <c r="R33" s="36">
        <v>-3</v>
      </c>
      <c r="S33" s="36">
        <v>-2</v>
      </c>
      <c r="T33" s="36">
        <v>-1</v>
      </c>
      <c r="U33" s="36">
        <v>0</v>
      </c>
      <c r="V33" s="36">
        <v>1</v>
      </c>
      <c r="W33" s="36">
        <v>2</v>
      </c>
      <c r="X33" s="36">
        <v>3</v>
      </c>
      <c r="Y33" s="36">
        <v>4</v>
      </c>
      <c r="Z33" s="36">
        <v>5</v>
      </c>
      <c r="AA33" s="36">
        <v>6</v>
      </c>
      <c r="AB33" s="36">
        <v>7</v>
      </c>
      <c r="AC33" s="36">
        <v>8</v>
      </c>
      <c r="AD33" s="36">
        <v>9</v>
      </c>
      <c r="AE33" s="36">
        <v>10</v>
      </c>
      <c r="AF33" s="36">
        <v>11</v>
      </c>
      <c r="AG33" s="36">
        <v>12</v>
      </c>
      <c r="AH33" s="36">
        <v>13</v>
      </c>
      <c r="AI33" s="36"/>
      <c r="AJ33" s="36"/>
      <c r="AK33" s="21"/>
      <c r="AL33" s="21"/>
      <c r="AM33" s="21"/>
      <c r="AN33" s="20"/>
      <c r="AO33" s="20"/>
      <c r="AP33" s="20"/>
      <c r="AQ33" s="20"/>
      <c r="AR33" s="20"/>
      <c r="AS33" s="20"/>
      <c r="AT33" s="22"/>
      <c r="AU33" s="22"/>
      <c r="AV33" s="22" t="s">
        <v>21</v>
      </c>
      <c r="AW33" s="22"/>
      <c r="AX33" s="22"/>
      <c r="AY33" s="22"/>
      <c r="AZ33" s="74"/>
      <c r="BA33" s="121" t="s">
        <v>18</v>
      </c>
      <c r="BB33" s="38" t="s">
        <v>22</v>
      </c>
      <c r="BC33" s="38"/>
      <c r="BD33" s="38"/>
      <c r="BE33" s="33"/>
      <c r="BF33" s="39"/>
      <c r="BM33" s="17" t="s">
        <v>95</v>
      </c>
    </row>
    <row r="34" spans="1:65" ht="15" customHeight="1">
      <c r="A34" s="19"/>
      <c r="B34" s="20"/>
      <c r="C34" s="20"/>
      <c r="D34" s="20"/>
      <c r="E34" s="20"/>
      <c r="F34" s="2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9"/>
      <c r="AK34" s="21"/>
      <c r="AL34" s="21"/>
      <c r="AM34" s="21"/>
      <c r="AN34" s="20"/>
      <c r="AO34" s="20"/>
      <c r="AP34" s="20"/>
      <c r="AQ34" s="20"/>
      <c r="AR34" s="20"/>
      <c r="AS34" s="20"/>
      <c r="AT34" s="22"/>
      <c r="AU34" s="22"/>
      <c r="AV34" s="22"/>
      <c r="AW34" s="22"/>
      <c r="AX34" s="22"/>
      <c r="AY34" s="22"/>
      <c r="AZ34" s="75"/>
      <c r="BA34" s="110" t="s">
        <v>32</v>
      </c>
      <c r="BB34" s="22" t="s">
        <v>227</v>
      </c>
      <c r="BC34" s="22"/>
      <c r="BD34" s="22"/>
      <c r="BE34" s="20"/>
      <c r="BF34" s="26"/>
      <c r="BM34" s="1" t="s">
        <v>165</v>
      </c>
    </row>
    <row r="35" spans="1:65" ht="15" customHeight="1">
      <c r="A35" s="19"/>
      <c r="B35" s="20"/>
      <c r="C35" s="20"/>
      <c r="D35" s="20"/>
      <c r="E35" s="20"/>
      <c r="F35" s="6">
        <v>6</v>
      </c>
      <c r="G35" s="40"/>
      <c r="H35" s="40" t="s">
        <v>32</v>
      </c>
      <c r="I35" s="40" t="s">
        <v>32</v>
      </c>
      <c r="J35" s="40" t="s">
        <v>32</v>
      </c>
      <c r="K35" s="40" t="s">
        <v>32</v>
      </c>
      <c r="L35" s="40" t="s">
        <v>32</v>
      </c>
      <c r="M35" s="40" t="s">
        <v>32</v>
      </c>
      <c r="N35" s="40" t="s">
        <v>32</v>
      </c>
      <c r="O35" s="40" t="s">
        <v>32</v>
      </c>
      <c r="P35" s="40" t="s">
        <v>32</v>
      </c>
      <c r="Q35" s="40" t="s">
        <v>32</v>
      </c>
      <c r="R35" s="40" t="s">
        <v>32</v>
      </c>
      <c r="S35" s="40" t="s">
        <v>32</v>
      </c>
      <c r="T35" s="40" t="s">
        <v>32</v>
      </c>
      <c r="U35" s="40" t="s">
        <v>32</v>
      </c>
      <c r="V35" s="40" t="s">
        <v>32</v>
      </c>
      <c r="W35" s="40" t="s">
        <v>32</v>
      </c>
      <c r="X35" s="40" t="s">
        <v>32</v>
      </c>
      <c r="Y35" s="40" t="s">
        <v>32</v>
      </c>
      <c r="Z35" s="40" t="s">
        <v>32</v>
      </c>
      <c r="AA35" s="40" t="s">
        <v>32</v>
      </c>
      <c r="AB35" s="40" t="s">
        <v>32</v>
      </c>
      <c r="AC35" s="40" t="s">
        <v>32</v>
      </c>
      <c r="AD35" s="40" t="s">
        <v>32</v>
      </c>
      <c r="AE35" s="40" t="s">
        <v>32</v>
      </c>
      <c r="AF35" s="40" t="s">
        <v>32</v>
      </c>
      <c r="AG35" s="40" t="s">
        <v>32</v>
      </c>
      <c r="AH35" s="40" t="s">
        <v>32</v>
      </c>
      <c r="AI35" s="40"/>
      <c r="AJ35" s="79">
        <v>6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0"/>
      <c r="BF35" s="26"/>
      <c r="BM35" s="17" t="s">
        <v>166</v>
      </c>
    </row>
    <row r="36" spans="1:65" ht="15" customHeight="1">
      <c r="A36" s="19"/>
      <c r="B36" s="151" t="s">
        <v>23</v>
      </c>
      <c r="C36" s="151"/>
      <c r="D36" s="20"/>
      <c r="E36" s="20"/>
      <c r="F36" s="6">
        <v>5</v>
      </c>
      <c r="G36" s="40"/>
      <c r="H36" s="40" t="s">
        <v>32</v>
      </c>
      <c r="I36" s="40" t="s">
        <v>32</v>
      </c>
      <c r="J36" s="40" t="s">
        <v>32</v>
      </c>
      <c r="K36" s="40" t="s">
        <v>32</v>
      </c>
      <c r="L36" s="40" t="s">
        <v>32</v>
      </c>
      <c r="M36" s="40" t="s">
        <v>32</v>
      </c>
      <c r="N36" s="40" t="s">
        <v>32</v>
      </c>
      <c r="O36" s="40" t="s">
        <v>32</v>
      </c>
      <c r="P36" s="40" t="s">
        <v>32</v>
      </c>
      <c r="Q36" s="40" t="s">
        <v>32</v>
      </c>
      <c r="R36" s="40" t="s">
        <v>32</v>
      </c>
      <c r="S36" s="40" t="s">
        <v>32</v>
      </c>
      <c r="T36" s="40" t="s">
        <v>32</v>
      </c>
      <c r="U36" s="40" t="s">
        <v>32</v>
      </c>
      <c r="V36" s="40" t="s">
        <v>32</v>
      </c>
      <c r="W36" s="40" t="s">
        <v>32</v>
      </c>
      <c r="X36" s="40" t="s">
        <v>32</v>
      </c>
      <c r="Y36" s="40" t="s">
        <v>32</v>
      </c>
      <c r="Z36" s="40" t="s">
        <v>32</v>
      </c>
      <c r="AA36" s="40" t="s">
        <v>32</v>
      </c>
      <c r="AB36" s="40" t="s">
        <v>32</v>
      </c>
      <c r="AC36" s="40" t="s">
        <v>32</v>
      </c>
      <c r="AD36" s="40" t="s">
        <v>32</v>
      </c>
      <c r="AE36" s="40" t="s">
        <v>32</v>
      </c>
      <c r="AF36" s="40" t="s">
        <v>32</v>
      </c>
      <c r="AG36" s="40" t="s">
        <v>32</v>
      </c>
      <c r="AH36" s="40" t="s">
        <v>32</v>
      </c>
      <c r="AI36" s="40"/>
      <c r="AJ36" s="79">
        <v>5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  <c r="BM36" s="17" t="s">
        <v>167</v>
      </c>
    </row>
    <row r="37" spans="1:65" ht="15" customHeight="1">
      <c r="A37" s="19"/>
      <c r="B37" s="151"/>
      <c r="C37" s="151"/>
      <c r="D37" s="20"/>
      <c r="E37" s="20"/>
      <c r="F37" s="6">
        <v>4</v>
      </c>
      <c r="G37" s="40"/>
      <c r="H37" s="40" t="s">
        <v>32</v>
      </c>
      <c r="I37" s="40" t="s">
        <v>32</v>
      </c>
      <c r="J37" s="40" t="s">
        <v>32</v>
      </c>
      <c r="K37" s="40" t="s">
        <v>32</v>
      </c>
      <c r="L37" s="40" t="s">
        <v>32</v>
      </c>
      <c r="M37" s="40" t="s">
        <v>32</v>
      </c>
      <c r="N37" s="40" t="s">
        <v>32</v>
      </c>
      <c r="O37" s="40" t="s">
        <v>32</v>
      </c>
      <c r="P37" s="40" t="s">
        <v>32</v>
      </c>
      <c r="Q37" s="40" t="s">
        <v>32</v>
      </c>
      <c r="R37" s="40" t="s">
        <v>32</v>
      </c>
      <c r="S37" s="40" t="s">
        <v>32</v>
      </c>
      <c r="T37" s="40" t="s">
        <v>32</v>
      </c>
      <c r="U37" s="40" t="s">
        <v>32</v>
      </c>
      <c r="V37" s="40" t="s">
        <v>32</v>
      </c>
      <c r="W37" s="40" t="s">
        <v>32</v>
      </c>
      <c r="X37" s="40" t="s">
        <v>32</v>
      </c>
      <c r="Y37" s="40" t="s">
        <v>32</v>
      </c>
      <c r="Z37" s="40" t="s">
        <v>32</v>
      </c>
      <c r="AA37" s="40" t="s">
        <v>32</v>
      </c>
      <c r="AB37" s="40" t="s">
        <v>32</v>
      </c>
      <c r="AC37" s="40" t="s">
        <v>32</v>
      </c>
      <c r="AD37" s="40" t="s">
        <v>32</v>
      </c>
      <c r="AE37" s="40" t="s">
        <v>32</v>
      </c>
      <c r="AF37" s="40" t="s">
        <v>32</v>
      </c>
      <c r="AG37" s="40" t="s">
        <v>32</v>
      </c>
      <c r="AH37" s="40" t="s">
        <v>32</v>
      </c>
      <c r="AI37" s="40"/>
      <c r="AJ37" s="79">
        <v>4</v>
      </c>
      <c r="AK37" s="21"/>
      <c r="AL37" s="21"/>
      <c r="AM37" s="21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6"/>
      <c r="BM37" s="17" t="s">
        <v>168</v>
      </c>
    </row>
    <row r="38" spans="1:65" ht="15" customHeight="1">
      <c r="A38" s="19"/>
      <c r="B38" s="151"/>
      <c r="C38" s="151"/>
      <c r="D38" s="20"/>
      <c r="E38" s="20"/>
      <c r="F38" s="6">
        <v>3</v>
      </c>
      <c r="G38" s="40"/>
      <c r="H38" s="40" t="s">
        <v>32</v>
      </c>
      <c r="I38" s="40" t="s">
        <v>32</v>
      </c>
      <c r="J38" s="40" t="s">
        <v>32</v>
      </c>
      <c r="K38" s="40" t="s">
        <v>32</v>
      </c>
      <c r="L38" s="40" t="s">
        <v>32</v>
      </c>
      <c r="M38" s="40" t="s">
        <v>32</v>
      </c>
      <c r="N38" s="40" t="s">
        <v>32</v>
      </c>
      <c r="O38" s="40" t="s">
        <v>32</v>
      </c>
      <c r="P38" s="40" t="s">
        <v>32</v>
      </c>
      <c r="Q38" s="40" t="s">
        <v>32</v>
      </c>
      <c r="R38" s="40" t="s">
        <v>32</v>
      </c>
      <c r="S38" s="40" t="s">
        <v>32</v>
      </c>
      <c r="T38" s="40" t="s">
        <v>32</v>
      </c>
      <c r="U38" s="40" t="s">
        <v>32</v>
      </c>
      <c r="V38" s="40" t="s">
        <v>32</v>
      </c>
      <c r="W38" s="40" t="s">
        <v>32</v>
      </c>
      <c r="X38" s="40" t="s">
        <v>32</v>
      </c>
      <c r="Y38" s="40" t="s">
        <v>32</v>
      </c>
      <c r="Z38" s="40" t="s">
        <v>32</v>
      </c>
      <c r="AA38" s="40" t="s">
        <v>32</v>
      </c>
      <c r="AB38" s="40" t="s">
        <v>32</v>
      </c>
      <c r="AC38" s="40" t="s">
        <v>32</v>
      </c>
      <c r="AD38" s="40" t="s">
        <v>32</v>
      </c>
      <c r="AE38" s="40" t="s">
        <v>32</v>
      </c>
      <c r="AF38" s="40" t="s">
        <v>32</v>
      </c>
      <c r="AG38" s="40" t="s">
        <v>32</v>
      </c>
      <c r="AH38" s="40" t="s">
        <v>32</v>
      </c>
      <c r="AI38" s="40"/>
      <c r="AJ38" s="79">
        <v>3</v>
      </c>
      <c r="AK38" s="21"/>
      <c r="AL38" s="21"/>
      <c r="AM38" s="21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6"/>
      <c r="BM38" s="17" t="s">
        <v>169</v>
      </c>
    </row>
    <row r="39" spans="1:65" ht="15" customHeight="1">
      <c r="A39" s="19"/>
      <c r="B39" s="151"/>
      <c r="C39" s="151"/>
      <c r="D39" s="20"/>
      <c r="E39" s="20"/>
      <c r="F39" s="6">
        <v>2</v>
      </c>
      <c r="G39" s="40"/>
      <c r="H39" s="40" t="s">
        <v>32</v>
      </c>
      <c r="I39" s="40" t="s">
        <v>32</v>
      </c>
      <c r="J39" s="40" t="s">
        <v>32</v>
      </c>
      <c r="K39" s="40" t="s">
        <v>32</v>
      </c>
      <c r="L39" s="40" t="s">
        <v>32</v>
      </c>
      <c r="M39" s="40" t="s">
        <v>32</v>
      </c>
      <c r="N39" s="40" t="s">
        <v>32</v>
      </c>
      <c r="O39" s="40" t="s">
        <v>32</v>
      </c>
      <c r="P39" s="40" t="s">
        <v>32</v>
      </c>
      <c r="Q39" s="40" t="s">
        <v>32</v>
      </c>
      <c r="R39" s="40" t="s">
        <v>32</v>
      </c>
      <c r="S39" s="40" t="s">
        <v>32</v>
      </c>
      <c r="T39" s="40" t="s">
        <v>32</v>
      </c>
      <c r="U39" s="40" t="s">
        <v>32</v>
      </c>
      <c r="V39" s="40" t="s">
        <v>32</v>
      </c>
      <c r="W39" s="40" t="s">
        <v>32</v>
      </c>
      <c r="X39" s="40" t="s">
        <v>32</v>
      </c>
      <c r="Y39" s="40" t="s">
        <v>32</v>
      </c>
      <c r="Z39" s="40" t="s">
        <v>32</v>
      </c>
      <c r="AA39" s="40" t="s">
        <v>32</v>
      </c>
      <c r="AB39" s="40" t="s">
        <v>32</v>
      </c>
      <c r="AC39" s="40" t="s">
        <v>32</v>
      </c>
      <c r="AD39" s="40" t="s">
        <v>32</v>
      </c>
      <c r="AE39" s="40" t="s">
        <v>32</v>
      </c>
      <c r="AF39" s="40" t="s">
        <v>32</v>
      </c>
      <c r="AG39" s="40" t="s">
        <v>32</v>
      </c>
      <c r="AH39" s="40" t="s">
        <v>32</v>
      </c>
      <c r="AI39" s="40"/>
      <c r="AJ39" s="79">
        <v>2</v>
      </c>
      <c r="AK39" s="21"/>
      <c r="AL39" s="21"/>
      <c r="AM39" s="21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6"/>
      <c r="BM39" s="17" t="s">
        <v>170</v>
      </c>
    </row>
    <row r="40" spans="1:65" ht="15" customHeight="1">
      <c r="A40" s="19"/>
      <c r="B40" s="151"/>
      <c r="C40" s="151"/>
      <c r="D40" s="20"/>
      <c r="E40" s="20"/>
      <c r="F40" s="6">
        <v>1</v>
      </c>
      <c r="G40" s="40"/>
      <c r="H40" s="40" t="s">
        <v>32</v>
      </c>
      <c r="I40" s="40" t="s">
        <v>32</v>
      </c>
      <c r="J40" s="40" t="s">
        <v>32</v>
      </c>
      <c r="K40" s="40" t="s">
        <v>32</v>
      </c>
      <c r="L40" s="40" t="s">
        <v>32</v>
      </c>
      <c r="M40" s="40" t="s">
        <v>32</v>
      </c>
      <c r="N40" s="40" t="s">
        <v>32</v>
      </c>
      <c r="O40" s="40" t="s">
        <v>32</v>
      </c>
      <c r="P40" s="40" t="s">
        <v>32</v>
      </c>
      <c r="Q40" s="40" t="s">
        <v>32</v>
      </c>
      <c r="R40" s="40" t="s">
        <v>32</v>
      </c>
      <c r="S40" s="40" t="s">
        <v>32</v>
      </c>
      <c r="T40" s="40" t="s">
        <v>32</v>
      </c>
      <c r="U40" s="40" t="s">
        <v>32</v>
      </c>
      <c r="V40" s="40" t="s">
        <v>32</v>
      </c>
      <c r="W40" s="40" t="s">
        <v>32</v>
      </c>
      <c r="X40" s="40" t="s">
        <v>32</v>
      </c>
      <c r="Y40" s="40" t="s">
        <v>32</v>
      </c>
      <c r="Z40" s="40" t="s">
        <v>32</v>
      </c>
      <c r="AA40" s="40" t="s">
        <v>32</v>
      </c>
      <c r="AB40" s="40" t="s">
        <v>32</v>
      </c>
      <c r="AC40" s="40" t="s">
        <v>32</v>
      </c>
      <c r="AD40" s="40" t="s">
        <v>32</v>
      </c>
      <c r="AE40" s="40" t="s">
        <v>32</v>
      </c>
      <c r="AF40" s="40" t="s">
        <v>32</v>
      </c>
      <c r="AG40" s="40" t="s">
        <v>32</v>
      </c>
      <c r="AH40" s="40" t="s">
        <v>32</v>
      </c>
      <c r="AI40" s="40"/>
      <c r="AJ40" s="79">
        <v>1</v>
      </c>
      <c r="AK40" s="21"/>
      <c r="AL40" s="21"/>
      <c r="AM40" s="21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6"/>
      <c r="BM40" s="17" t="s">
        <v>92</v>
      </c>
    </row>
    <row r="41" spans="1:65" ht="15" customHeight="1">
      <c r="A41" s="19"/>
      <c r="B41" s="151"/>
      <c r="C41" s="151"/>
      <c r="D41" s="20"/>
      <c r="E41" s="20"/>
      <c r="F41" s="6">
        <v>0</v>
      </c>
      <c r="G41" s="40"/>
      <c r="H41" s="40" t="s">
        <v>32</v>
      </c>
      <c r="I41" s="40" t="s">
        <v>32</v>
      </c>
      <c r="J41" s="40" t="s">
        <v>32</v>
      </c>
      <c r="K41" s="40" t="s">
        <v>32</v>
      </c>
      <c r="L41" s="40" t="s">
        <v>32</v>
      </c>
      <c r="M41" s="40" t="s">
        <v>32</v>
      </c>
      <c r="N41" s="40" t="s">
        <v>32</v>
      </c>
      <c r="O41" s="40" t="s">
        <v>32</v>
      </c>
      <c r="P41" s="40" t="s">
        <v>32</v>
      </c>
      <c r="Q41" s="40" t="s">
        <v>32</v>
      </c>
      <c r="R41" s="40" t="s">
        <v>32</v>
      </c>
      <c r="S41" s="40" t="s">
        <v>32</v>
      </c>
      <c r="T41" s="40" t="s">
        <v>32</v>
      </c>
      <c r="U41" s="40" t="s">
        <v>32</v>
      </c>
      <c r="V41" s="40" t="s">
        <v>32</v>
      </c>
      <c r="W41" s="40" t="s">
        <v>32</v>
      </c>
      <c r="X41" s="40" t="s">
        <v>32</v>
      </c>
      <c r="Y41" s="40" t="s">
        <v>32</v>
      </c>
      <c r="Z41" s="40" t="s">
        <v>32</v>
      </c>
      <c r="AA41" s="40" t="s">
        <v>32</v>
      </c>
      <c r="AB41" s="40" t="s">
        <v>32</v>
      </c>
      <c r="AC41" s="40" t="s">
        <v>32</v>
      </c>
      <c r="AD41" s="40" t="s">
        <v>32</v>
      </c>
      <c r="AE41" s="40" t="s">
        <v>32</v>
      </c>
      <c r="AF41" s="40" t="s">
        <v>32</v>
      </c>
      <c r="AG41" s="40" t="s">
        <v>32</v>
      </c>
      <c r="AH41" s="40" t="s">
        <v>32</v>
      </c>
      <c r="AI41" s="40"/>
      <c r="AJ41" s="79">
        <v>0</v>
      </c>
      <c r="AK41" s="21"/>
      <c r="AL41" s="21"/>
      <c r="AM41" s="21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6"/>
      <c r="BM41" s="17" t="s">
        <v>171</v>
      </c>
    </row>
    <row r="42" spans="1:65" ht="15" customHeight="1">
      <c r="A42" s="19"/>
      <c r="B42" s="151"/>
      <c r="C42" s="151"/>
      <c r="D42" s="20"/>
      <c r="E42" s="20"/>
      <c r="F42" s="6">
        <v>-1</v>
      </c>
      <c r="G42" s="40"/>
      <c r="H42" s="40" t="s">
        <v>32</v>
      </c>
      <c r="I42" s="40" t="s">
        <v>32</v>
      </c>
      <c r="J42" s="40" t="s">
        <v>32</v>
      </c>
      <c r="K42" s="40" t="s">
        <v>32</v>
      </c>
      <c r="L42" s="40" t="s">
        <v>32</v>
      </c>
      <c r="M42" s="40" t="s">
        <v>32</v>
      </c>
      <c r="N42" s="40" t="s">
        <v>32</v>
      </c>
      <c r="O42" s="40" t="s">
        <v>32</v>
      </c>
      <c r="P42" s="40" t="s">
        <v>32</v>
      </c>
      <c r="Q42" s="40" t="s">
        <v>32</v>
      </c>
      <c r="R42" s="40" t="s">
        <v>32</v>
      </c>
      <c r="S42" s="40" t="s">
        <v>32</v>
      </c>
      <c r="T42" s="40" t="s">
        <v>32</v>
      </c>
      <c r="U42" s="40" t="s">
        <v>32</v>
      </c>
      <c r="V42" s="40" t="s">
        <v>32</v>
      </c>
      <c r="W42" s="40" t="s">
        <v>32</v>
      </c>
      <c r="X42" s="40" t="s">
        <v>32</v>
      </c>
      <c r="Y42" s="40" t="s">
        <v>32</v>
      </c>
      <c r="Z42" s="40" t="s">
        <v>32</v>
      </c>
      <c r="AA42" s="40" t="s">
        <v>32</v>
      </c>
      <c r="AB42" s="40" t="s">
        <v>32</v>
      </c>
      <c r="AC42" s="40" t="s">
        <v>32</v>
      </c>
      <c r="AD42" s="40" t="s">
        <v>32</v>
      </c>
      <c r="AE42" s="40" t="s">
        <v>32</v>
      </c>
      <c r="AF42" s="40" t="s">
        <v>32</v>
      </c>
      <c r="AG42" s="40" t="s">
        <v>32</v>
      </c>
      <c r="AH42" s="40" t="s">
        <v>32</v>
      </c>
      <c r="AI42" s="40"/>
      <c r="AJ42" s="6">
        <v>-1</v>
      </c>
      <c r="AK42" s="21"/>
      <c r="AL42" s="21"/>
      <c r="AM42" s="21"/>
      <c r="AN42" s="20"/>
      <c r="AO42" s="41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6"/>
      <c r="BM42" s="17" t="s">
        <v>172</v>
      </c>
    </row>
    <row r="43" spans="1:65" ht="15" customHeight="1">
      <c r="A43" s="19"/>
      <c r="B43" s="151"/>
      <c r="C43" s="151"/>
      <c r="D43" s="20"/>
      <c r="E43" s="20"/>
      <c r="F43" s="6">
        <v>-2</v>
      </c>
      <c r="G43" s="40"/>
      <c r="H43" s="40" t="s">
        <v>32</v>
      </c>
      <c r="I43" s="40" t="s">
        <v>32</v>
      </c>
      <c r="J43" s="40" t="s">
        <v>32</v>
      </c>
      <c r="K43" s="40" t="s">
        <v>32</v>
      </c>
      <c r="L43" s="40" t="s">
        <v>32</v>
      </c>
      <c r="M43" s="40" t="s">
        <v>32</v>
      </c>
      <c r="N43" s="40" t="s">
        <v>32</v>
      </c>
      <c r="O43" s="40" t="s">
        <v>32</v>
      </c>
      <c r="P43" s="40" t="s">
        <v>32</v>
      </c>
      <c r="Q43" s="40" t="s">
        <v>32</v>
      </c>
      <c r="R43" s="40" t="s">
        <v>32</v>
      </c>
      <c r="S43" s="40" t="s">
        <v>32</v>
      </c>
      <c r="T43" s="40" t="s">
        <v>32</v>
      </c>
      <c r="U43" s="40" t="s">
        <v>32</v>
      </c>
      <c r="V43" s="40" t="s">
        <v>32</v>
      </c>
      <c r="W43" s="40" t="s">
        <v>32</v>
      </c>
      <c r="X43" s="40" t="s">
        <v>32</v>
      </c>
      <c r="Y43" s="40" t="s">
        <v>32</v>
      </c>
      <c r="Z43" s="40" t="s">
        <v>32</v>
      </c>
      <c r="AA43" s="40" t="s">
        <v>32</v>
      </c>
      <c r="AB43" s="40" t="s">
        <v>32</v>
      </c>
      <c r="AC43" s="40" t="s">
        <v>32</v>
      </c>
      <c r="AD43" s="40" t="s">
        <v>32</v>
      </c>
      <c r="AE43" s="40" t="s">
        <v>32</v>
      </c>
      <c r="AF43" s="40" t="s">
        <v>32</v>
      </c>
      <c r="AG43" s="40" t="s">
        <v>32</v>
      </c>
      <c r="AH43" s="40" t="s">
        <v>32</v>
      </c>
      <c r="AI43" s="40"/>
      <c r="AJ43" s="6">
        <v>-2</v>
      </c>
      <c r="AK43" s="21"/>
      <c r="AL43" s="21"/>
      <c r="AM43" s="21"/>
      <c r="AN43" s="20"/>
      <c r="AO43" s="41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6"/>
      <c r="BM43" s="17" t="s">
        <v>99</v>
      </c>
    </row>
    <row r="44" spans="1:65" ht="15" customHeight="1">
      <c r="A44" s="19"/>
      <c r="B44" s="151"/>
      <c r="C44" s="151"/>
      <c r="D44" s="20"/>
      <c r="E44" s="20"/>
      <c r="F44" s="6">
        <v>-3</v>
      </c>
      <c r="G44" s="40"/>
      <c r="H44" s="40" t="s">
        <v>32</v>
      </c>
      <c r="I44" s="40" t="s">
        <v>32</v>
      </c>
      <c r="J44" s="40" t="s">
        <v>32</v>
      </c>
      <c r="K44" s="40" t="s">
        <v>32</v>
      </c>
      <c r="L44" s="40" t="s">
        <v>32</v>
      </c>
      <c r="M44" s="40" t="s">
        <v>32</v>
      </c>
      <c r="N44" s="40" t="s">
        <v>32</v>
      </c>
      <c r="O44" s="40" t="s">
        <v>32</v>
      </c>
      <c r="P44" s="40" t="s">
        <v>32</v>
      </c>
      <c r="Q44" s="40" t="s">
        <v>32</v>
      </c>
      <c r="R44" s="40" t="s">
        <v>32</v>
      </c>
      <c r="S44" s="40" t="s">
        <v>32</v>
      </c>
      <c r="T44" s="40" t="s">
        <v>32</v>
      </c>
      <c r="U44" s="40" t="s">
        <v>32</v>
      </c>
      <c r="V44" s="40" t="s">
        <v>32</v>
      </c>
      <c r="W44" s="40" t="s">
        <v>32</v>
      </c>
      <c r="X44" s="40" t="s">
        <v>32</v>
      </c>
      <c r="Y44" s="40" t="s">
        <v>32</v>
      </c>
      <c r="Z44" s="40" t="s">
        <v>32</v>
      </c>
      <c r="AA44" s="40" t="s">
        <v>32</v>
      </c>
      <c r="AB44" s="40" t="s">
        <v>32</v>
      </c>
      <c r="AC44" s="40" t="s">
        <v>32</v>
      </c>
      <c r="AD44" s="40" t="s">
        <v>32</v>
      </c>
      <c r="AE44" s="40" t="s">
        <v>32</v>
      </c>
      <c r="AF44" s="40" t="s">
        <v>32</v>
      </c>
      <c r="AG44" s="40" t="s">
        <v>32</v>
      </c>
      <c r="AH44" s="40" t="s">
        <v>32</v>
      </c>
      <c r="AI44" s="40"/>
      <c r="AJ44" s="6">
        <v>-3</v>
      </c>
      <c r="AK44" s="21"/>
      <c r="AL44" s="21"/>
      <c r="AM44" s="21"/>
      <c r="AN44" s="20"/>
      <c r="AO44" s="41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6"/>
      <c r="BM44" s="17" t="s">
        <v>273</v>
      </c>
    </row>
    <row r="45" spans="1:65" ht="15" customHeight="1">
      <c r="A45" s="19"/>
      <c r="B45" s="151"/>
      <c r="C45" s="151"/>
      <c r="D45" s="20"/>
      <c r="E45" s="20"/>
      <c r="F45" s="6">
        <v>-4</v>
      </c>
      <c r="G45" s="40"/>
      <c r="H45" s="40" t="s">
        <v>32</v>
      </c>
      <c r="I45" s="40" t="s">
        <v>32</v>
      </c>
      <c r="J45" s="40" t="s">
        <v>32</v>
      </c>
      <c r="K45" s="40" t="s">
        <v>32</v>
      </c>
      <c r="L45" s="40" t="s">
        <v>32</v>
      </c>
      <c r="M45" s="40" t="s">
        <v>32</v>
      </c>
      <c r="N45" s="40" t="s">
        <v>32</v>
      </c>
      <c r="O45" s="40" t="s">
        <v>32</v>
      </c>
      <c r="P45" s="40" t="s">
        <v>32</v>
      </c>
      <c r="Q45" s="40" t="s">
        <v>32</v>
      </c>
      <c r="R45" s="40" t="s">
        <v>32</v>
      </c>
      <c r="S45" s="40" t="s">
        <v>32</v>
      </c>
      <c r="T45" s="40" t="s">
        <v>32</v>
      </c>
      <c r="U45" s="40" t="s">
        <v>32</v>
      </c>
      <c r="V45" s="40" t="s">
        <v>32</v>
      </c>
      <c r="W45" s="40" t="s">
        <v>32</v>
      </c>
      <c r="X45" s="40" t="s">
        <v>32</v>
      </c>
      <c r="Y45" s="40" t="s">
        <v>32</v>
      </c>
      <c r="Z45" s="40" t="s">
        <v>32</v>
      </c>
      <c r="AA45" s="40" t="s">
        <v>32</v>
      </c>
      <c r="AB45" s="40" t="s">
        <v>32</v>
      </c>
      <c r="AC45" s="40" t="s">
        <v>32</v>
      </c>
      <c r="AD45" s="40" t="s">
        <v>32</v>
      </c>
      <c r="AE45" s="40" t="s">
        <v>32</v>
      </c>
      <c r="AF45" s="40" t="s">
        <v>32</v>
      </c>
      <c r="AG45" s="40" t="s">
        <v>32</v>
      </c>
      <c r="AH45" s="40" t="s">
        <v>32</v>
      </c>
      <c r="AI45" s="40"/>
      <c r="AJ45" s="6">
        <v>-4</v>
      </c>
      <c r="AK45" s="21"/>
      <c r="AL45" s="21"/>
      <c r="AM45" s="21"/>
      <c r="AN45" s="20"/>
      <c r="AO45" s="22"/>
      <c r="AP45" s="22"/>
      <c r="AQ45" s="22"/>
      <c r="AR45" s="22"/>
      <c r="AS45" s="170" t="s">
        <v>24</v>
      </c>
      <c r="AT45" s="170"/>
      <c r="AU45" s="170"/>
      <c r="AV45" s="170"/>
      <c r="AW45" s="170"/>
      <c r="AX45" s="170"/>
      <c r="AY45" s="170"/>
      <c r="AZ45" s="170" t="s">
        <v>117</v>
      </c>
      <c r="BA45" s="170"/>
      <c r="BB45" s="170"/>
      <c r="BC45" s="170"/>
      <c r="BD45" s="170"/>
      <c r="BE45" s="170"/>
      <c r="BF45" s="171"/>
      <c r="BM45" s="17" t="s">
        <v>173</v>
      </c>
    </row>
    <row r="46" spans="1:65" ht="15" customHeight="1">
      <c r="A46" s="19"/>
      <c r="B46" s="151"/>
      <c r="C46" s="151"/>
      <c r="D46" s="20"/>
      <c r="E46" s="20"/>
      <c r="F46" s="6">
        <v>-5</v>
      </c>
      <c r="G46" s="40"/>
      <c r="H46" s="40" t="s">
        <v>32</v>
      </c>
      <c r="I46" s="40" t="s">
        <v>32</v>
      </c>
      <c r="J46" s="40" t="s">
        <v>32</v>
      </c>
      <c r="K46" s="40" t="s">
        <v>32</v>
      </c>
      <c r="L46" s="40" t="s">
        <v>32</v>
      </c>
      <c r="M46" s="40" t="s">
        <v>32</v>
      </c>
      <c r="N46" s="40" t="s">
        <v>32</v>
      </c>
      <c r="O46" s="40" t="s">
        <v>32</v>
      </c>
      <c r="P46" s="40" t="s">
        <v>32</v>
      </c>
      <c r="Q46" s="40" t="s">
        <v>32</v>
      </c>
      <c r="R46" s="40" t="s">
        <v>32</v>
      </c>
      <c r="S46" s="40" t="s">
        <v>32</v>
      </c>
      <c r="T46" s="40" t="s">
        <v>32</v>
      </c>
      <c r="U46" s="40" t="s">
        <v>32</v>
      </c>
      <c r="V46" s="40" t="s">
        <v>32</v>
      </c>
      <c r="W46" s="40" t="s">
        <v>32</v>
      </c>
      <c r="X46" s="40" t="s">
        <v>32</v>
      </c>
      <c r="Y46" s="40" t="s">
        <v>32</v>
      </c>
      <c r="Z46" s="40" t="s">
        <v>32</v>
      </c>
      <c r="AA46" s="40" t="s">
        <v>32</v>
      </c>
      <c r="AB46" s="40" t="s">
        <v>32</v>
      </c>
      <c r="AC46" s="40" t="s">
        <v>32</v>
      </c>
      <c r="AD46" s="40" t="s">
        <v>32</v>
      </c>
      <c r="AE46" s="40" t="s">
        <v>32</v>
      </c>
      <c r="AF46" s="40" t="s">
        <v>32</v>
      </c>
      <c r="AG46" s="40" t="s">
        <v>32</v>
      </c>
      <c r="AH46" s="40" t="s">
        <v>32</v>
      </c>
      <c r="AI46" s="40"/>
      <c r="AJ46" s="6">
        <v>-5</v>
      </c>
      <c r="AK46" s="21"/>
      <c r="AL46" s="21"/>
      <c r="AM46" s="21"/>
      <c r="AN46" s="20"/>
      <c r="AO46" s="22"/>
      <c r="AP46" s="22"/>
      <c r="AQ46" s="22"/>
      <c r="AR46" s="22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1"/>
      <c r="BM46" s="17" t="s">
        <v>174</v>
      </c>
    </row>
    <row r="47" spans="1:65" ht="15" customHeight="1">
      <c r="A47" s="19"/>
      <c r="B47" s="20"/>
      <c r="C47" s="20"/>
      <c r="D47" s="20"/>
      <c r="E47" s="20"/>
      <c r="F47" s="6">
        <v>-6</v>
      </c>
      <c r="G47" s="40"/>
      <c r="H47" s="40" t="s">
        <v>32</v>
      </c>
      <c r="I47" s="40" t="s">
        <v>32</v>
      </c>
      <c r="J47" s="40" t="s">
        <v>32</v>
      </c>
      <c r="K47" s="40" t="s">
        <v>32</v>
      </c>
      <c r="L47" s="40" t="s">
        <v>32</v>
      </c>
      <c r="M47" s="40" t="s">
        <v>32</v>
      </c>
      <c r="N47" s="40" t="s">
        <v>32</v>
      </c>
      <c r="O47" s="40" t="s">
        <v>32</v>
      </c>
      <c r="P47" s="40" t="s">
        <v>32</v>
      </c>
      <c r="Q47" s="40" t="s">
        <v>32</v>
      </c>
      <c r="R47" s="40" t="s">
        <v>32</v>
      </c>
      <c r="S47" s="40" t="s">
        <v>32</v>
      </c>
      <c r="T47" s="40" t="s">
        <v>32</v>
      </c>
      <c r="U47" s="40" t="s">
        <v>32</v>
      </c>
      <c r="V47" s="40" t="s">
        <v>32</v>
      </c>
      <c r="W47" s="40" t="s">
        <v>32</v>
      </c>
      <c r="X47" s="40" t="s">
        <v>32</v>
      </c>
      <c r="Y47" s="40" t="s">
        <v>32</v>
      </c>
      <c r="Z47" s="40" t="s">
        <v>32</v>
      </c>
      <c r="AA47" s="40" t="s">
        <v>32</v>
      </c>
      <c r="AB47" s="40" t="s">
        <v>32</v>
      </c>
      <c r="AC47" s="40" t="s">
        <v>32</v>
      </c>
      <c r="AD47" s="40" t="s">
        <v>32</v>
      </c>
      <c r="AE47" s="40" t="s">
        <v>32</v>
      </c>
      <c r="AF47" s="40" t="s">
        <v>32</v>
      </c>
      <c r="AG47" s="40" t="s">
        <v>32</v>
      </c>
      <c r="AH47" s="40" t="s">
        <v>32</v>
      </c>
      <c r="AI47" s="40"/>
      <c r="AJ47" s="6">
        <v>-6</v>
      </c>
      <c r="AK47" s="21"/>
      <c r="AL47" s="21"/>
      <c r="AM47" s="21"/>
      <c r="AN47" s="20"/>
      <c r="AO47" s="28"/>
      <c r="AP47" s="28"/>
      <c r="AQ47" s="28"/>
      <c r="AR47" s="28"/>
      <c r="AS47" s="236" t="s">
        <v>141</v>
      </c>
      <c r="AT47" s="237"/>
      <c r="AU47" s="237"/>
      <c r="AV47" s="237"/>
      <c r="AW47" s="237"/>
      <c r="AX47" s="237"/>
      <c r="AY47" s="238"/>
      <c r="AZ47" s="170" t="s">
        <v>117</v>
      </c>
      <c r="BA47" s="170"/>
      <c r="BB47" s="170"/>
      <c r="BC47" s="170"/>
      <c r="BD47" s="170"/>
      <c r="BE47" s="170"/>
      <c r="BF47" s="171"/>
      <c r="BM47" s="17" t="s">
        <v>96</v>
      </c>
    </row>
    <row r="48" spans="1:65" ht="15" customHeight="1">
      <c r="A48" s="19"/>
      <c r="B48" s="20"/>
      <c r="C48" s="20"/>
      <c r="D48" s="20"/>
      <c r="E48" s="20"/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6"/>
      <c r="AK48" s="21"/>
      <c r="AL48" s="21"/>
      <c r="AM48" s="21"/>
      <c r="AN48" s="20"/>
      <c r="AO48" s="28"/>
      <c r="AP48" s="28"/>
      <c r="AQ48" s="28"/>
      <c r="AR48" s="28"/>
      <c r="AS48" s="239"/>
      <c r="AT48" s="240"/>
      <c r="AU48" s="240"/>
      <c r="AV48" s="240"/>
      <c r="AW48" s="240"/>
      <c r="AX48" s="240"/>
      <c r="AY48" s="241"/>
      <c r="AZ48" s="170"/>
      <c r="BA48" s="170"/>
      <c r="BB48" s="170"/>
      <c r="BC48" s="170"/>
      <c r="BD48" s="170"/>
      <c r="BE48" s="170"/>
      <c r="BF48" s="171"/>
      <c r="BM48" s="17" t="s">
        <v>175</v>
      </c>
    </row>
    <row r="49" spans="1:65" ht="18.75" customHeight="1">
      <c r="A49" s="42"/>
      <c r="B49" s="30"/>
      <c r="C49" s="30"/>
      <c r="D49" s="30"/>
      <c r="E49" s="30"/>
      <c r="F49" s="43"/>
      <c r="G49" s="77"/>
      <c r="H49" s="44">
        <v>-13</v>
      </c>
      <c r="I49" s="44">
        <v>-12</v>
      </c>
      <c r="J49" s="44">
        <v>-11</v>
      </c>
      <c r="K49" s="44">
        <v>-10</v>
      </c>
      <c r="L49" s="44">
        <v>-9</v>
      </c>
      <c r="M49" s="44">
        <v>-8</v>
      </c>
      <c r="N49" s="44">
        <v>-7</v>
      </c>
      <c r="O49" s="44">
        <v>-6</v>
      </c>
      <c r="P49" s="44">
        <v>-5</v>
      </c>
      <c r="Q49" s="44">
        <v>-4</v>
      </c>
      <c r="R49" s="44">
        <v>-3</v>
      </c>
      <c r="S49" s="45">
        <v>-2</v>
      </c>
      <c r="T49" s="45">
        <v>-1</v>
      </c>
      <c r="U49" s="45">
        <v>0</v>
      </c>
      <c r="V49" s="45">
        <v>1</v>
      </c>
      <c r="W49" s="45">
        <v>2</v>
      </c>
      <c r="X49" s="45">
        <v>3</v>
      </c>
      <c r="Y49" s="45">
        <v>4</v>
      </c>
      <c r="Z49" s="45">
        <v>5</v>
      </c>
      <c r="AA49" s="45">
        <v>6</v>
      </c>
      <c r="AB49" s="45">
        <v>7</v>
      </c>
      <c r="AC49" s="45">
        <v>8</v>
      </c>
      <c r="AD49" s="45">
        <v>9</v>
      </c>
      <c r="AE49" s="45">
        <v>10</v>
      </c>
      <c r="AF49" s="45">
        <v>11</v>
      </c>
      <c r="AG49" s="45">
        <v>12</v>
      </c>
      <c r="AH49" s="45">
        <v>13</v>
      </c>
      <c r="AI49" s="45"/>
      <c r="AJ49" s="46"/>
      <c r="AK49" s="29"/>
      <c r="AL49" s="29"/>
      <c r="AM49" s="29"/>
      <c r="AN49" s="30"/>
      <c r="AO49" s="31"/>
      <c r="AP49" s="31"/>
      <c r="AQ49" s="31"/>
      <c r="AR49" s="47"/>
      <c r="AS49" s="189" t="str">
        <f>IF(AZ2="7-200","（± 0.2Mpa）"," （± 50KN）")</f>
        <v xml:space="preserve"> （± 50KN）</v>
      </c>
      <c r="AT49" s="190"/>
      <c r="AU49" s="190"/>
      <c r="AV49" s="190"/>
      <c r="AW49" s="190"/>
      <c r="AX49" s="190"/>
      <c r="AY49" s="191"/>
      <c r="AZ49" s="170"/>
      <c r="BA49" s="170"/>
      <c r="BB49" s="170"/>
      <c r="BC49" s="170"/>
      <c r="BD49" s="170"/>
      <c r="BE49" s="170"/>
      <c r="BF49" s="171"/>
      <c r="BM49" s="17" t="s">
        <v>176</v>
      </c>
    </row>
    <row r="50" spans="1:65" ht="20.100000000000001" customHeight="1">
      <c r="A50" s="48" t="s">
        <v>33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50"/>
      <c r="M50" s="50"/>
      <c r="N50" s="51"/>
      <c r="O50" s="51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1"/>
      <c r="AB50" s="50"/>
      <c r="AC50" s="52"/>
      <c r="AD50" s="53" t="s">
        <v>25</v>
      </c>
      <c r="AE50" s="54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38"/>
      <c r="AQ50" s="53"/>
      <c r="AR50" s="53"/>
      <c r="AS50" s="53"/>
      <c r="AT50" s="53"/>
      <c r="AU50" s="53"/>
      <c r="AV50" s="53"/>
      <c r="AW50" s="51"/>
      <c r="AX50" s="53"/>
      <c r="AY50" s="55"/>
      <c r="AZ50" s="33"/>
      <c r="BA50" s="20"/>
      <c r="BB50" s="23"/>
      <c r="BC50" s="56"/>
      <c r="BD50" s="56"/>
      <c r="BE50" s="56"/>
      <c r="BF50" s="57"/>
      <c r="BM50" s="17" t="s">
        <v>177</v>
      </c>
    </row>
    <row r="51" spans="1:65" ht="20.100000000000001" customHeight="1">
      <c r="A51" s="58" t="s">
        <v>37</v>
      </c>
      <c r="B51" s="51"/>
      <c r="C51" s="50"/>
      <c r="D51" s="155" t="s">
        <v>279</v>
      </c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4" t="s">
        <v>133</v>
      </c>
      <c r="P51" s="154"/>
      <c r="Q51" s="154"/>
      <c r="R51" s="154"/>
      <c r="S51" s="154"/>
      <c r="T51" s="154"/>
      <c r="U51" s="154"/>
      <c r="V51" s="59"/>
      <c r="W51" s="59"/>
      <c r="X51" s="59"/>
      <c r="Y51" s="59"/>
      <c r="Z51" s="59"/>
      <c r="AA51" s="59"/>
      <c r="AB51" s="59"/>
      <c r="AC51" s="60"/>
      <c r="AD51" s="113" t="s">
        <v>238</v>
      </c>
      <c r="AE51" s="114"/>
      <c r="AF51" s="114"/>
      <c r="AG51" s="114"/>
      <c r="AH51" s="114"/>
      <c r="AI51" s="124">
        <v>3</v>
      </c>
      <c r="AJ51" s="22" t="s">
        <v>237</v>
      </c>
      <c r="AK51" s="22"/>
      <c r="AL51" s="22"/>
      <c r="AM51" s="22"/>
      <c r="AN51" s="22"/>
      <c r="AO51" s="22"/>
      <c r="AP51" s="22"/>
      <c r="AQ51" s="22"/>
      <c r="AR51" s="23"/>
      <c r="AS51" s="23"/>
      <c r="AT51" s="22"/>
      <c r="AU51" s="23"/>
      <c r="AV51" s="23"/>
      <c r="AW51" s="51"/>
      <c r="AX51" s="23"/>
      <c r="AY51" s="51"/>
      <c r="AZ51" s="20"/>
      <c r="BA51" s="20"/>
      <c r="BB51" s="23"/>
      <c r="BC51" s="56"/>
      <c r="BD51" s="56"/>
      <c r="BE51" s="56"/>
      <c r="BF51" s="57"/>
      <c r="BM51" s="17" t="s">
        <v>178</v>
      </c>
    </row>
    <row r="52" spans="1:65" ht="20.100000000000001" customHeight="1">
      <c r="A52" s="61" t="s">
        <v>38</v>
      </c>
      <c r="B52" s="51"/>
      <c r="C52" s="62"/>
      <c r="D52" s="155" t="str">
        <f>D51</f>
        <v>2SD 809 605</v>
      </c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4" t="s">
        <v>134</v>
      </c>
      <c r="P52" s="154"/>
      <c r="Q52" s="154"/>
      <c r="R52" s="154"/>
      <c r="S52" s="154"/>
      <c r="T52" s="154"/>
      <c r="U52" s="154"/>
      <c r="V52" s="59"/>
      <c r="W52" s="59"/>
      <c r="X52" s="59"/>
      <c r="Y52" s="59"/>
      <c r="Z52" s="59"/>
      <c r="AA52" s="59"/>
      <c r="AB52" s="59"/>
      <c r="AC52" s="60"/>
      <c r="AD52" s="147" t="s">
        <v>195</v>
      </c>
      <c r="AE52" s="148"/>
      <c r="AF52" s="148"/>
      <c r="AG52" s="148"/>
      <c r="AH52" s="148"/>
      <c r="AI52" s="152"/>
      <c r="AJ52" s="152"/>
      <c r="AK52" s="102" t="s">
        <v>196</v>
      </c>
      <c r="AM52" s="102"/>
      <c r="AN52" s="102"/>
      <c r="AO52" s="102"/>
      <c r="AP52" s="102"/>
      <c r="AQ52" s="102"/>
      <c r="AR52" s="23"/>
      <c r="AS52" s="23"/>
      <c r="AT52" s="22"/>
      <c r="AU52" s="23"/>
      <c r="AV52" s="23"/>
      <c r="AW52" s="51"/>
      <c r="AX52" s="23"/>
      <c r="AY52" s="51"/>
      <c r="AZ52" s="20"/>
      <c r="BA52" s="20"/>
      <c r="BB52" s="23"/>
      <c r="BC52" s="56"/>
      <c r="BD52" s="56"/>
      <c r="BE52" s="56"/>
      <c r="BF52" s="57"/>
      <c r="BM52" s="17" t="s">
        <v>179</v>
      </c>
    </row>
    <row r="53" spans="1:65" ht="20.100000000000001" customHeight="1">
      <c r="A53" s="61"/>
      <c r="B53" s="51"/>
      <c r="C53" s="62"/>
      <c r="D53" s="62"/>
      <c r="E53" s="62"/>
      <c r="F53" s="62"/>
      <c r="G53" s="62"/>
      <c r="H53" s="62"/>
      <c r="I53" s="51"/>
      <c r="J53" s="62"/>
      <c r="K53" s="62"/>
      <c r="L53" s="51"/>
      <c r="M53" s="62"/>
      <c r="N53" s="51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63"/>
      <c r="AD53" s="147" t="s">
        <v>120</v>
      </c>
      <c r="AE53" s="148"/>
      <c r="AF53" s="148"/>
      <c r="AG53" s="148"/>
      <c r="AH53" s="148"/>
      <c r="AI53" s="148"/>
      <c r="AJ53" s="153" t="s">
        <v>121</v>
      </c>
      <c r="AK53" s="153"/>
      <c r="AL53" s="153"/>
      <c r="AM53" s="23"/>
      <c r="AN53" s="23"/>
      <c r="AO53" s="23"/>
      <c r="AP53" s="23"/>
      <c r="AQ53" s="23"/>
      <c r="AR53" s="23"/>
      <c r="AS53" s="23"/>
      <c r="AT53" s="22"/>
      <c r="AU53" s="23"/>
      <c r="AV53" s="23"/>
      <c r="AW53" s="51"/>
      <c r="AX53" s="23"/>
      <c r="AY53" s="51"/>
      <c r="AZ53" s="20"/>
      <c r="BA53" s="20"/>
      <c r="BB53" s="23"/>
      <c r="BC53" s="56"/>
      <c r="BD53" s="56"/>
      <c r="BE53" s="56"/>
      <c r="BF53" s="57"/>
      <c r="BM53" s="17" t="s">
        <v>180</v>
      </c>
    </row>
    <row r="54" spans="1:65" ht="20.100000000000001" customHeight="1">
      <c r="A54" s="48" t="s">
        <v>26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55"/>
      <c r="AB54" s="49"/>
      <c r="AC54" s="65"/>
      <c r="AD54" s="138" t="s">
        <v>263</v>
      </c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1"/>
      <c r="AT54" s="50"/>
      <c r="AU54" s="50"/>
      <c r="AV54" s="50"/>
      <c r="AW54" s="50"/>
      <c r="AX54" s="50"/>
      <c r="AY54" s="50"/>
      <c r="AZ54" s="56"/>
      <c r="BA54" s="56"/>
      <c r="BB54" s="56"/>
      <c r="BC54" s="56"/>
      <c r="BD54" s="56"/>
      <c r="BE54" s="56"/>
      <c r="BF54" s="57"/>
    </row>
    <row r="55" spans="1:65" ht="20.100000000000001" customHeight="1">
      <c r="A55" s="149" t="s">
        <v>230</v>
      </c>
      <c r="B55" s="150"/>
      <c r="C55" s="150"/>
      <c r="D55" s="146" t="s">
        <v>241</v>
      </c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15"/>
      <c r="AD55" s="50" t="s">
        <v>288</v>
      </c>
      <c r="AE55" s="50"/>
      <c r="AF55" s="50"/>
      <c r="AG55" s="50"/>
      <c r="AH55" s="50"/>
      <c r="AK55" s="50"/>
      <c r="AL55" s="50"/>
      <c r="AM55" s="50"/>
      <c r="AN55" s="50"/>
      <c r="AO55" s="50"/>
      <c r="AP55" s="50"/>
      <c r="AQ55" s="50"/>
      <c r="AR55" s="50"/>
      <c r="AS55" s="51"/>
      <c r="AT55" s="50"/>
      <c r="AU55" s="50"/>
      <c r="AV55" s="50"/>
      <c r="AW55" s="50"/>
      <c r="AX55" s="50"/>
      <c r="AY55" s="50"/>
      <c r="AZ55" s="56"/>
      <c r="BA55" s="56"/>
      <c r="BB55" s="56"/>
      <c r="BC55" s="56"/>
      <c r="BD55" s="56"/>
      <c r="BE55" s="56"/>
      <c r="BF55" s="57"/>
    </row>
    <row r="56" spans="1:65" ht="20.100000000000001" customHeight="1">
      <c r="A56" s="144" t="s">
        <v>231</v>
      </c>
      <c r="B56" s="145"/>
      <c r="C56" s="22"/>
      <c r="D56" s="146" t="s">
        <v>235</v>
      </c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16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1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6"/>
      <c r="BE56" s="56"/>
      <c r="BF56" s="57"/>
    </row>
    <row r="57" spans="1:65" ht="20.100000000000001" customHeight="1">
      <c r="A57" s="61"/>
      <c r="B57" s="28"/>
      <c r="C57" s="23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66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1"/>
      <c r="AT57" s="50"/>
      <c r="AU57" s="50"/>
      <c r="AV57" s="50"/>
      <c r="AW57" s="50"/>
      <c r="AX57" s="50"/>
      <c r="AY57" s="50"/>
      <c r="AZ57" s="56"/>
      <c r="BA57" s="56"/>
      <c r="BB57" s="56"/>
      <c r="BC57" s="56"/>
      <c r="BD57" s="56"/>
      <c r="BE57" s="56"/>
      <c r="BF57" s="57"/>
    </row>
    <row r="58" spans="1:65" ht="20.100000000000001" customHeight="1">
      <c r="A58" s="67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66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1"/>
      <c r="AT58" s="50"/>
      <c r="AU58" s="50"/>
      <c r="AV58" s="50"/>
      <c r="AW58" s="50"/>
      <c r="AX58" s="50"/>
      <c r="AY58" s="50"/>
      <c r="AZ58" s="56"/>
      <c r="BA58" s="56"/>
      <c r="BB58" s="56"/>
      <c r="BC58" s="56"/>
      <c r="BD58" s="56"/>
      <c r="BE58" s="56"/>
      <c r="BF58" s="57"/>
    </row>
    <row r="59" spans="1:65" ht="20.100000000000001" customHeight="1">
      <c r="A59" s="68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69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86"/>
      <c r="AZ59" s="86"/>
      <c r="BA59" s="86"/>
      <c r="BB59" s="86"/>
      <c r="BC59" s="86"/>
      <c r="BD59" s="86"/>
      <c r="BE59" s="50"/>
      <c r="BF59" s="57"/>
    </row>
    <row r="60" spans="1:65" s="22" customFormat="1" ht="27" customHeight="1" thickBot="1">
      <c r="A60" s="12"/>
      <c r="B60" s="13" t="s">
        <v>29</v>
      </c>
      <c r="C60" s="14"/>
      <c r="D60" s="14"/>
      <c r="E60" s="235"/>
      <c r="F60" s="235"/>
      <c r="G60" s="235"/>
      <c r="H60" s="235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3" t="s">
        <v>30</v>
      </c>
      <c r="V60" s="14"/>
      <c r="W60" s="14"/>
      <c r="X60" s="235"/>
      <c r="Y60" s="235"/>
      <c r="Z60" s="235"/>
      <c r="AA60" s="235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3" t="s">
        <v>31</v>
      </c>
      <c r="AP60" s="14"/>
      <c r="AQ60" s="14"/>
      <c r="AR60" s="235"/>
      <c r="AS60" s="235"/>
      <c r="AT60" s="235"/>
      <c r="AU60" s="235"/>
      <c r="AV60" s="14"/>
      <c r="AW60" s="14"/>
      <c r="AX60" s="14"/>
      <c r="AY60" s="15"/>
      <c r="AZ60" s="15"/>
      <c r="BA60" s="15"/>
      <c r="BB60" s="15"/>
      <c r="BC60" s="15"/>
      <c r="BD60" s="15"/>
      <c r="BE60" s="14"/>
      <c r="BF60" s="16"/>
    </row>
    <row r="61" spans="1:65" ht="16.5" customHeight="1">
      <c r="A61" s="1" t="s">
        <v>272</v>
      </c>
    </row>
  </sheetData>
  <sheetProtection selectLockedCells="1"/>
  <protectedRanges>
    <protectedRange sqref="AZ1 I5 AD4:BF8 AS10:AS15 BA21 H35:AH47 AZ45:BF49 AI52 AJ53 AI17:AI31 I8 W17:AH17 H31:T31 W31:AH31 G17:G31 AD55:AH59 AK54:BF59 AI56:AJ59 AE54:AJ54 H17:T17 I11:I15 BA22:BF32 H18:I18 H30:I30 AG30:AH30 AG18:AH18 K30 H29:K29 AF29:AH29 K18:AE18 L29:AE30 H19:AH28" name="区域3"/>
    <protectedRange sqref="AJ53" name="区域2"/>
    <protectedRange sqref="AX17" name="区域1"/>
    <protectedRange sqref="BA34" name="区域1_1"/>
    <protectedRange sqref="AD54" name="区域3_1"/>
    <protectedRange sqref="AZ2:BF2" name="区域1_2"/>
    <protectedRange sqref="I10" name="区域3_2"/>
  </protectedRanges>
  <sortState ref="BM3:BM66">
    <sortCondition ref="BM2"/>
  </sortState>
  <mergeCells count="118">
    <mergeCell ref="E60:H60"/>
    <mergeCell ref="X60:AA60"/>
    <mergeCell ref="AR60:AU60"/>
    <mergeCell ref="AS47:AY48"/>
    <mergeCell ref="A12:H12"/>
    <mergeCell ref="AS3:AY3"/>
    <mergeCell ref="AZ3:BF3"/>
    <mergeCell ref="A4:AC4"/>
    <mergeCell ref="A5:H5"/>
    <mergeCell ref="AD5:AI5"/>
    <mergeCell ref="A6:H6"/>
    <mergeCell ref="A7:H7"/>
    <mergeCell ref="I6:AC6"/>
    <mergeCell ref="A11:H11"/>
    <mergeCell ref="I7:AC7"/>
    <mergeCell ref="AB10:AC10"/>
    <mergeCell ref="AB11:AC11"/>
    <mergeCell ref="I10:AA10"/>
    <mergeCell ref="I11:AA11"/>
    <mergeCell ref="A9:BF9"/>
    <mergeCell ref="A10:H10"/>
    <mergeCell ref="AD10:AR10"/>
    <mergeCell ref="I8:AC8"/>
    <mergeCell ref="BE6:BE8"/>
    <mergeCell ref="A1:AR2"/>
    <mergeCell ref="AS1:AY1"/>
    <mergeCell ref="BE4:BE5"/>
    <mergeCell ref="A3:H3"/>
    <mergeCell ref="I3:O3"/>
    <mergeCell ref="P3:V3"/>
    <mergeCell ref="W3:AC3"/>
    <mergeCell ref="AD3:AK3"/>
    <mergeCell ref="AZ1:BF1"/>
    <mergeCell ref="AS2:AY2"/>
    <mergeCell ref="AZ2:BF2"/>
    <mergeCell ref="AL3:AR3"/>
    <mergeCell ref="I5:AC5"/>
    <mergeCell ref="BD11:BF11"/>
    <mergeCell ref="BD10:BF10"/>
    <mergeCell ref="AS10:BC10"/>
    <mergeCell ref="AS11:BC11"/>
    <mergeCell ref="AD11:AR11"/>
    <mergeCell ref="I12:AA12"/>
    <mergeCell ref="AB12:AC12"/>
    <mergeCell ref="BD14:BF14"/>
    <mergeCell ref="BD15:BF15"/>
    <mergeCell ref="AS14:BC14"/>
    <mergeCell ref="AS15:BC15"/>
    <mergeCell ref="AS12:BC12"/>
    <mergeCell ref="AS13:BC13"/>
    <mergeCell ref="BD13:BF13"/>
    <mergeCell ref="BD12:BF12"/>
    <mergeCell ref="S14:AA14"/>
    <mergeCell ref="I15:R15"/>
    <mergeCell ref="S15:AA15"/>
    <mergeCell ref="AD12:AR12"/>
    <mergeCell ref="AD15:AR15"/>
    <mergeCell ref="AD14:AR14"/>
    <mergeCell ref="A13:H13"/>
    <mergeCell ref="I13:AA13"/>
    <mergeCell ref="AB13:AC13"/>
    <mergeCell ref="AD13:AR13"/>
    <mergeCell ref="A14:H14"/>
    <mergeCell ref="AB14:AC14"/>
    <mergeCell ref="I14:R14"/>
    <mergeCell ref="B18:C31"/>
    <mergeCell ref="AM21:AM23"/>
    <mergeCell ref="A15:H15"/>
    <mergeCell ref="AB15:AC15"/>
    <mergeCell ref="AM24:AM28"/>
    <mergeCell ref="AT30:AZ30"/>
    <mergeCell ref="AS45:AY46"/>
    <mergeCell ref="AZ45:BF46"/>
    <mergeCell ref="AZ47:BF49"/>
    <mergeCell ref="AT31:AZ32"/>
    <mergeCell ref="BA31:BF32"/>
    <mergeCell ref="BA30:BF30"/>
    <mergeCell ref="AT22:AY29"/>
    <mergeCell ref="BA25:BB25"/>
    <mergeCell ref="BC25:BD25"/>
    <mergeCell ref="BE25:BF25"/>
    <mergeCell ref="BA26:BB26"/>
    <mergeCell ref="BC26:BD26"/>
    <mergeCell ref="BE26:BF26"/>
    <mergeCell ref="BA27:BB27"/>
    <mergeCell ref="BC27:BD27"/>
    <mergeCell ref="BE27:BF27"/>
    <mergeCell ref="BA28:BB28"/>
    <mergeCell ref="BC28:BD28"/>
    <mergeCell ref="BE28:BF28"/>
    <mergeCell ref="BA22:BB22"/>
    <mergeCell ref="BC22:BD22"/>
    <mergeCell ref="BE22:BF22"/>
    <mergeCell ref="AS49:AY49"/>
    <mergeCell ref="BA21:BF21"/>
    <mergeCell ref="AT21:AZ21"/>
    <mergeCell ref="BA29:BB29"/>
    <mergeCell ref="BC29:BD29"/>
    <mergeCell ref="BE29:BF29"/>
    <mergeCell ref="BC23:BD23"/>
    <mergeCell ref="BE23:BF23"/>
    <mergeCell ref="BA24:BB24"/>
    <mergeCell ref="BC24:BD24"/>
    <mergeCell ref="BE24:BF24"/>
    <mergeCell ref="BA23:BB23"/>
    <mergeCell ref="A56:B56"/>
    <mergeCell ref="D55:AB55"/>
    <mergeCell ref="D56:AB56"/>
    <mergeCell ref="AD52:AH52"/>
    <mergeCell ref="A55:C55"/>
    <mergeCell ref="B36:C46"/>
    <mergeCell ref="AI52:AJ52"/>
    <mergeCell ref="AD53:AI53"/>
    <mergeCell ref="AJ53:AL53"/>
    <mergeCell ref="O52:U52"/>
    <mergeCell ref="D52:N52"/>
    <mergeCell ref="O51:U51"/>
    <mergeCell ref="D51:N51"/>
  </mergeCells>
  <phoneticPr fontId="2" type="noConversion"/>
  <conditionalFormatting sqref="AJ53">
    <cfRule type="containsBlanks" dxfId="968" priority="997">
      <formula>LEN(TRIM(AJ53))=0</formula>
    </cfRule>
  </conditionalFormatting>
  <conditionalFormatting sqref="G17:AI17 G31:AI31 G18:H18 AH18:AI18 G19:G30 AI19:AI30">
    <cfRule type="expression" dxfId="967" priority="874">
      <formula>AND(G17=$BT$4)</formula>
    </cfRule>
    <cfRule type="expression" dxfId="966" priority="875">
      <formula>AND(G17=$BT$2)</formula>
    </cfRule>
  </conditionalFormatting>
  <conditionalFormatting sqref="G16:G32 F17:AJ17 AI16:AI32 F31:AJ31">
    <cfRule type="expression" dxfId="965" priority="872">
      <formula>AND($AZ$2&lt;&gt;"6-300")</formula>
    </cfRule>
  </conditionalFormatting>
  <conditionalFormatting sqref="H35:AH47">
    <cfRule type="expression" dxfId="964" priority="871">
      <formula>AND(H35=$BT$2)</formula>
    </cfRule>
  </conditionalFormatting>
  <conditionalFormatting sqref="AL3:AR3">
    <cfRule type="containsBlanks" dxfId="963" priority="1000">
      <formula>LEN(TRIM(AL3))=0</formula>
    </cfRule>
  </conditionalFormatting>
  <conditionalFormatting sqref="AZ1:BF1">
    <cfRule type="containsBlanks" dxfId="962" priority="998">
      <formula>LEN(TRIM(AZ1))=0</formula>
    </cfRule>
  </conditionalFormatting>
  <conditionalFormatting sqref="I5">
    <cfRule type="containsBlanks" dxfId="961" priority="1003">
      <formula>LEN(TRIM(I5))=0</formula>
    </cfRule>
  </conditionalFormatting>
  <conditionalFormatting sqref="I6:AC6">
    <cfRule type="containsBlanks" dxfId="960" priority="1004">
      <formula>LEN(TRIM(I6))=0</formula>
    </cfRule>
  </conditionalFormatting>
  <conditionalFormatting sqref="I7:AC7">
    <cfRule type="containsBlanks" dxfId="959" priority="1005">
      <formula>LEN(TRIM(I7))=0</formula>
    </cfRule>
  </conditionalFormatting>
  <conditionalFormatting sqref="I12:AA12">
    <cfRule type="containsBlanks" dxfId="958" priority="1007">
      <formula>LEN(TRIM(I12))=0</formula>
    </cfRule>
  </conditionalFormatting>
  <conditionalFormatting sqref="I13:AA13">
    <cfRule type="containsBlanks" dxfId="957" priority="1008">
      <formula>LEN(TRIM(I13))=0</formula>
    </cfRule>
  </conditionalFormatting>
  <conditionalFormatting sqref="AS11:BC11">
    <cfRule type="containsBlanks" dxfId="956" priority="1011">
      <formula>LEN(TRIM(AS11))=0</formula>
    </cfRule>
  </conditionalFormatting>
  <conditionalFormatting sqref="AS12:BC12">
    <cfRule type="containsBlanks" dxfId="955" priority="1012">
      <formula>LEN(TRIM(AS12))=0</formula>
    </cfRule>
  </conditionalFormatting>
  <conditionalFormatting sqref="AS13:BC13">
    <cfRule type="containsBlanks" dxfId="954" priority="1013">
      <formula>LEN(TRIM(AS13))=0</formula>
    </cfRule>
  </conditionalFormatting>
  <conditionalFormatting sqref="G17:G31 G17:AI17 AI17:AI31 G31:AI31">
    <cfRule type="expression" dxfId="953" priority="852">
      <formula>G17=""</formula>
    </cfRule>
  </conditionalFormatting>
  <conditionalFormatting sqref="H18 AH18">
    <cfRule type="expression" dxfId="952" priority="851">
      <formula>H18=""</formula>
    </cfRule>
  </conditionalFormatting>
  <conditionalFormatting sqref="BC22:BD22">
    <cfRule type="containsBlanks" dxfId="951" priority="1014">
      <formula>LEN(TRIM(BC22))=0</formula>
    </cfRule>
  </conditionalFormatting>
  <conditionalFormatting sqref="BA21:BF21">
    <cfRule type="expression" dxfId="950" priority="848">
      <formula>$BA$21=""</formula>
    </cfRule>
  </conditionalFormatting>
  <conditionalFormatting sqref="BA30:BF30">
    <cfRule type="containsBlanks" dxfId="949" priority="1015">
      <formula>LEN(TRIM(BA30))=0</formula>
    </cfRule>
  </conditionalFormatting>
  <conditionalFormatting sqref="BA31:BF32">
    <cfRule type="containsBlanks" dxfId="948" priority="1016">
      <formula>LEN(TRIM(BA31))=0</formula>
    </cfRule>
  </conditionalFormatting>
  <conditionalFormatting sqref="D52:N52">
    <cfRule type="containsBlanks" dxfId="947" priority="1017">
      <formula>LEN(TRIM(D52))=0</formula>
    </cfRule>
  </conditionalFormatting>
  <conditionalFormatting sqref="AI51">
    <cfRule type="containsBlanks" dxfId="946" priority="1018">
      <formula>LEN(TRIM(AI51))=0</formula>
    </cfRule>
  </conditionalFormatting>
  <conditionalFormatting sqref="AI52:AJ52">
    <cfRule type="containsBlanks" dxfId="945" priority="1019">
      <formula>LEN(TRIM(AI52))=0</formula>
    </cfRule>
  </conditionalFormatting>
  <conditionalFormatting sqref="D51:N51">
    <cfRule type="containsBlanks" dxfId="944" priority="841">
      <formula>LEN(TRIM(D51))=0</formula>
    </cfRule>
  </conditionalFormatting>
  <conditionalFormatting sqref="I14:R14">
    <cfRule type="containsBlanks" dxfId="943" priority="1009">
      <formula>LEN(TRIM(I14))=0</formula>
    </cfRule>
  </conditionalFormatting>
  <conditionalFormatting sqref="AZ2:BF2">
    <cfRule type="containsBlanks" dxfId="942" priority="835">
      <formula>LEN(TRIM(AZ2))=0</formula>
    </cfRule>
  </conditionalFormatting>
  <conditionalFormatting sqref="I15:R15">
    <cfRule type="containsBlanks" dxfId="941" priority="834">
      <formula>LEN(TRIM(I15))=0</formula>
    </cfRule>
  </conditionalFormatting>
  <conditionalFormatting sqref="I18 AG18 AE18">
    <cfRule type="expression" dxfId="940" priority="833">
      <formula>AND(I18=$BT$2)</formula>
    </cfRule>
  </conditionalFormatting>
  <conditionalFormatting sqref="H30 AH30">
    <cfRule type="expression" dxfId="939" priority="759">
      <formula>AND(H30=$BT$4)</formula>
    </cfRule>
    <cfRule type="expression" dxfId="938" priority="760">
      <formula>AND(H30=$BT$2)</formula>
    </cfRule>
  </conditionalFormatting>
  <conditionalFormatting sqref="H30 AH30">
    <cfRule type="expression" dxfId="937" priority="758">
      <formula>H30=""</formula>
    </cfRule>
  </conditionalFormatting>
  <conditionalFormatting sqref="I30 K30 AG30">
    <cfRule type="expression" dxfId="936" priority="757">
      <formula>AND(I30=$BT$2)</formula>
    </cfRule>
  </conditionalFormatting>
  <conditionalFormatting sqref="BC23:BD23">
    <cfRule type="containsBlanks" dxfId="935" priority="756">
      <formula>LEN(TRIM(BC23))=0</formula>
    </cfRule>
  </conditionalFormatting>
  <conditionalFormatting sqref="BC24:BD24">
    <cfRule type="containsBlanks" dxfId="934" priority="755">
      <formula>LEN(TRIM(BC24))=0</formula>
    </cfRule>
  </conditionalFormatting>
  <conditionalFormatting sqref="BC25:BD25">
    <cfRule type="containsBlanks" dxfId="933" priority="754">
      <formula>LEN(TRIM(BC25))=0</formula>
    </cfRule>
  </conditionalFormatting>
  <conditionalFormatting sqref="BC26:BD26">
    <cfRule type="containsBlanks" dxfId="932" priority="753">
      <formula>LEN(TRIM(BC26))=0</formula>
    </cfRule>
  </conditionalFormatting>
  <conditionalFormatting sqref="BC27:BD27">
    <cfRule type="containsBlanks" dxfId="931" priority="752">
      <formula>LEN(TRIM(BC27))=0</formula>
    </cfRule>
  </conditionalFormatting>
  <conditionalFormatting sqref="BC28:BD28">
    <cfRule type="containsBlanks" dxfId="930" priority="751">
      <formula>LEN(TRIM(BC28))=0</formula>
    </cfRule>
  </conditionalFormatting>
  <conditionalFormatting sqref="BC29:BD29">
    <cfRule type="containsBlanks" dxfId="929" priority="750">
      <formula>LEN(TRIM(BC29))=0</formula>
    </cfRule>
  </conditionalFormatting>
  <conditionalFormatting sqref="H19 AH19">
    <cfRule type="expression" dxfId="928" priority="719">
      <formula>AND(H19=$BT$4)</formula>
    </cfRule>
    <cfRule type="expression" dxfId="927" priority="720">
      <formula>AND(H19=$BT$2)</formula>
    </cfRule>
  </conditionalFormatting>
  <conditionalFormatting sqref="H19 AH19">
    <cfRule type="expression" dxfId="926" priority="718">
      <formula>H19=""</formula>
    </cfRule>
  </conditionalFormatting>
  <conditionalFormatting sqref="I19:J19 AF19:AG19">
    <cfRule type="expression" dxfId="925" priority="717">
      <formula>AND(I19=$BT$2)</formula>
    </cfRule>
  </conditionalFormatting>
  <conditionalFormatting sqref="H29 AH29">
    <cfRule type="expression" dxfId="924" priority="463">
      <formula>AND(H29=$BT$4)</formula>
    </cfRule>
    <cfRule type="expression" dxfId="923" priority="464">
      <formula>AND(H29=$BT$2)</formula>
    </cfRule>
  </conditionalFormatting>
  <conditionalFormatting sqref="H29 AH29">
    <cfRule type="expression" dxfId="922" priority="462">
      <formula>H29=""</formula>
    </cfRule>
  </conditionalFormatting>
  <conditionalFormatting sqref="I29:J29 AF29:AG29">
    <cfRule type="expression" dxfId="921" priority="461">
      <formula>AND(I29=$BT$2)</formula>
    </cfRule>
  </conditionalFormatting>
  <conditionalFormatting sqref="K29">
    <cfRule type="expression" dxfId="920" priority="459">
      <formula>AND(K29=$BT$2)</formula>
    </cfRule>
  </conditionalFormatting>
  <conditionalFormatting sqref="W18">
    <cfRule type="expression" dxfId="919" priority="370">
      <formula>AND(W18=$BT$2)</formula>
    </cfRule>
  </conditionalFormatting>
  <conditionalFormatting sqref="K18:P18 S18 U18">
    <cfRule type="expression" dxfId="918" priority="368">
      <formula>AND(K18=$BT$2)</formula>
    </cfRule>
  </conditionalFormatting>
  <conditionalFormatting sqref="X19">
    <cfRule type="expression" dxfId="917" priority="365">
      <formula>AND(X19=$BT$2)</formula>
    </cfRule>
  </conditionalFormatting>
  <conditionalFormatting sqref="K19:U19">
    <cfRule type="expression" dxfId="916" priority="364">
      <formula>AND(K19=$BT$2)</formula>
    </cfRule>
  </conditionalFormatting>
  <conditionalFormatting sqref="V19">
    <cfRule type="expression" dxfId="915" priority="363">
      <formula>AND(V19=$BT$2)</formula>
    </cfRule>
  </conditionalFormatting>
  <conditionalFormatting sqref="V19">
    <cfRule type="expression" dxfId="914" priority="362">
      <formula>AND(V19=$BT$2)</formula>
    </cfRule>
  </conditionalFormatting>
  <conditionalFormatting sqref="J19:T19">
    <cfRule type="expression" dxfId="913" priority="360">
      <formula>AND(J19=$BT$2)</formula>
    </cfRule>
  </conditionalFormatting>
  <conditionalFormatting sqref="U19">
    <cfRule type="expression" dxfId="912" priority="359">
      <formula>AND(U19=$BT$2)</formula>
    </cfRule>
  </conditionalFormatting>
  <conditionalFormatting sqref="AC18">
    <cfRule type="expression" dxfId="911" priority="354">
      <formula>AND(AC18=$BT$2)</formula>
    </cfRule>
  </conditionalFormatting>
  <conditionalFormatting sqref="AD18">
    <cfRule type="expression" dxfId="910" priority="353">
      <formula>AND(AD18=$BT$2)</formula>
    </cfRule>
  </conditionalFormatting>
  <conditionalFormatting sqref="Z18:AA18">
    <cfRule type="expression" dxfId="909" priority="352">
      <formula>AND(Z18=$BT$2)</formula>
    </cfRule>
  </conditionalFormatting>
  <conditionalFormatting sqref="Z19">
    <cfRule type="expression" dxfId="908" priority="348">
      <formula>AND(Z19=$BT$2)</formula>
    </cfRule>
  </conditionalFormatting>
  <conditionalFormatting sqref="AB19">
    <cfRule type="expression" dxfId="907" priority="347">
      <formula>AND(AB19=$BT$2)</formula>
    </cfRule>
  </conditionalFormatting>
  <conditionalFormatting sqref="H20 AH20">
    <cfRule type="expression" dxfId="906" priority="345">
      <formula>AND(H20=$BT$4)</formula>
    </cfRule>
    <cfRule type="expression" dxfId="905" priority="346">
      <formula>AND(H20=$BT$2)</formula>
    </cfRule>
  </conditionalFormatting>
  <conditionalFormatting sqref="H20 AH20">
    <cfRule type="expression" dxfId="904" priority="344">
      <formula>H20=""</formula>
    </cfRule>
  </conditionalFormatting>
  <conditionalFormatting sqref="I20:J20 AF20:AG20">
    <cfRule type="expression" dxfId="903" priority="343">
      <formula>AND(I20=$BT$2)</formula>
    </cfRule>
  </conditionalFormatting>
  <conditionalFormatting sqref="W20">
    <cfRule type="expression" dxfId="902" priority="341">
      <formula>AND(W20=$BT$2)</formula>
    </cfRule>
  </conditionalFormatting>
  <conditionalFormatting sqref="X20">
    <cfRule type="expression" dxfId="901" priority="340">
      <formula>AND(X20=$BT$2)</formula>
    </cfRule>
  </conditionalFormatting>
  <conditionalFormatting sqref="K20:L20 O20:U20">
    <cfRule type="expression" dxfId="900" priority="339">
      <formula>AND(K20=$BT$2)</formula>
    </cfRule>
  </conditionalFormatting>
  <conditionalFormatting sqref="V20">
    <cfRule type="expression" dxfId="899" priority="338">
      <formula>AND(V20=$BT$2)</formula>
    </cfRule>
  </conditionalFormatting>
  <conditionalFormatting sqref="V20">
    <cfRule type="expression" dxfId="898" priority="337">
      <formula>AND(V20=$BT$2)</formula>
    </cfRule>
  </conditionalFormatting>
  <conditionalFormatting sqref="W20">
    <cfRule type="expression" dxfId="897" priority="336">
      <formula>AND(W20=$BT$2)</formula>
    </cfRule>
  </conditionalFormatting>
  <conditionalFormatting sqref="J20:L20 O20:T20">
    <cfRule type="expression" dxfId="896" priority="335">
      <formula>AND(J20=$BT$2)</formula>
    </cfRule>
  </conditionalFormatting>
  <conditionalFormatting sqref="U20">
    <cfRule type="expression" dxfId="895" priority="334">
      <formula>AND(U20=$BT$2)</formula>
    </cfRule>
  </conditionalFormatting>
  <conditionalFormatting sqref="AC20">
    <cfRule type="expression" dxfId="894" priority="333">
      <formula>AND(AC20=$BT$2)</formula>
    </cfRule>
  </conditionalFormatting>
  <conditionalFormatting sqref="AD20">
    <cfRule type="expression" dxfId="893" priority="332">
      <formula>AND(AD20=$BT$2)</formula>
    </cfRule>
  </conditionalFormatting>
  <conditionalFormatting sqref="Y20:AA20">
    <cfRule type="expression" dxfId="892" priority="331">
      <formula>AND(Y20=$BT$2)</formula>
    </cfRule>
  </conditionalFormatting>
  <conditionalFormatting sqref="AB20">
    <cfRule type="expression" dxfId="891" priority="330">
      <formula>AND(AB20=$BT$2)</formula>
    </cfRule>
  </conditionalFormatting>
  <conditionalFormatting sqref="H21 AH21">
    <cfRule type="expression" dxfId="890" priority="328">
      <formula>AND(H21=$BT$4)</formula>
    </cfRule>
    <cfRule type="expression" dxfId="889" priority="329">
      <formula>AND(H21=$BT$2)</formula>
    </cfRule>
  </conditionalFormatting>
  <conditionalFormatting sqref="H21 AH21">
    <cfRule type="expression" dxfId="888" priority="327">
      <formula>H21=""</formula>
    </cfRule>
  </conditionalFormatting>
  <conditionalFormatting sqref="I21:J21 AG21">
    <cfRule type="expression" dxfId="887" priority="326">
      <formula>AND(I21=$BT$2)</formula>
    </cfRule>
  </conditionalFormatting>
  <conditionalFormatting sqref="AE21">
    <cfRule type="expression" dxfId="886" priority="325">
      <formula>AND(AE21=$BT$2)</formula>
    </cfRule>
  </conditionalFormatting>
  <conditionalFormatting sqref="W21">
    <cfRule type="expression" dxfId="885" priority="324">
      <formula>AND(W21=$BT$2)</formula>
    </cfRule>
  </conditionalFormatting>
  <conditionalFormatting sqref="X21">
    <cfRule type="expression" dxfId="884" priority="323">
      <formula>AND(X21=$BT$2)</formula>
    </cfRule>
  </conditionalFormatting>
  <conditionalFormatting sqref="M21:U21">
    <cfRule type="expression" dxfId="883" priority="322">
      <formula>AND(M21=$BT$2)</formula>
    </cfRule>
  </conditionalFormatting>
  <conditionalFormatting sqref="V21">
    <cfRule type="expression" dxfId="882" priority="321">
      <formula>AND(V21=$BT$2)</formula>
    </cfRule>
  </conditionalFormatting>
  <conditionalFormatting sqref="V21">
    <cfRule type="expression" dxfId="881" priority="320">
      <formula>AND(V21=$BT$2)</formula>
    </cfRule>
  </conditionalFormatting>
  <conditionalFormatting sqref="W21">
    <cfRule type="expression" dxfId="880" priority="319">
      <formula>AND(W21=$BT$2)</formula>
    </cfRule>
  </conditionalFormatting>
  <conditionalFormatting sqref="J21 M21:T21">
    <cfRule type="expression" dxfId="879" priority="318">
      <formula>AND(J21=$BT$2)</formula>
    </cfRule>
  </conditionalFormatting>
  <conditionalFormatting sqref="U21">
    <cfRule type="expression" dxfId="878" priority="317">
      <formula>AND(U21=$BT$2)</formula>
    </cfRule>
  </conditionalFormatting>
  <conditionalFormatting sqref="AC21">
    <cfRule type="expression" dxfId="877" priority="316">
      <formula>AND(AC21=$BT$2)</formula>
    </cfRule>
  </conditionalFormatting>
  <conditionalFormatting sqref="AD21">
    <cfRule type="expression" dxfId="876" priority="315">
      <formula>AND(AD21=$BT$2)</formula>
    </cfRule>
  </conditionalFormatting>
  <conditionalFormatting sqref="Y21:AA21">
    <cfRule type="expression" dxfId="875" priority="314">
      <formula>AND(Y21=$BT$2)</formula>
    </cfRule>
  </conditionalFormatting>
  <conditionalFormatting sqref="AB21">
    <cfRule type="expression" dxfId="874" priority="313">
      <formula>AND(AB21=$BT$2)</formula>
    </cfRule>
  </conditionalFormatting>
  <conditionalFormatting sqref="H22 AH22">
    <cfRule type="expression" dxfId="873" priority="311">
      <formula>AND(H22=$BT$4)</formula>
    </cfRule>
    <cfRule type="expression" dxfId="872" priority="312">
      <formula>AND(H22=$BT$2)</formula>
    </cfRule>
  </conditionalFormatting>
  <conditionalFormatting sqref="H22 AH22">
    <cfRule type="expression" dxfId="871" priority="310">
      <formula>H22=""</formula>
    </cfRule>
  </conditionalFormatting>
  <conditionalFormatting sqref="I22 AF22:AG22">
    <cfRule type="expression" dxfId="870" priority="309">
      <formula>AND(I22=$BT$2)</formula>
    </cfRule>
  </conditionalFormatting>
  <conditionalFormatting sqref="W22">
    <cfRule type="expression" dxfId="869" priority="307">
      <formula>AND(W22=$BT$2)</formula>
    </cfRule>
  </conditionalFormatting>
  <conditionalFormatting sqref="K22:R22">
    <cfRule type="expression" dxfId="868" priority="305">
      <formula>AND(K22=$BT$2)</formula>
    </cfRule>
  </conditionalFormatting>
  <conditionalFormatting sqref="V22">
    <cfRule type="expression" dxfId="867" priority="304">
      <formula>AND(V22=$BT$2)</formula>
    </cfRule>
  </conditionalFormatting>
  <conditionalFormatting sqref="V22">
    <cfRule type="expression" dxfId="866" priority="303">
      <formula>AND(V22=$BT$2)</formula>
    </cfRule>
  </conditionalFormatting>
  <conditionalFormatting sqref="W22">
    <cfRule type="expression" dxfId="865" priority="302">
      <formula>AND(W22=$BT$2)</formula>
    </cfRule>
  </conditionalFormatting>
  <conditionalFormatting sqref="K22:R22">
    <cfRule type="expression" dxfId="864" priority="301">
      <formula>AND(K22=$BT$2)</formula>
    </cfRule>
  </conditionalFormatting>
  <conditionalFormatting sqref="AC22">
    <cfRule type="expression" dxfId="863" priority="299">
      <formula>AND(AC22=$BT$2)</formula>
    </cfRule>
  </conditionalFormatting>
  <conditionalFormatting sqref="AD22">
    <cfRule type="expression" dxfId="862" priority="298">
      <formula>AND(AD22=$BT$2)</formula>
    </cfRule>
  </conditionalFormatting>
  <conditionalFormatting sqref="AB22">
    <cfRule type="expression" dxfId="861" priority="296">
      <formula>AND(AB22=$BT$2)</formula>
    </cfRule>
  </conditionalFormatting>
  <conditionalFormatting sqref="H23 AH23">
    <cfRule type="expression" dxfId="860" priority="294">
      <formula>AND(H23=$BT$4)</formula>
    </cfRule>
    <cfRule type="expression" dxfId="859" priority="295">
      <formula>AND(H23=$BT$2)</formula>
    </cfRule>
  </conditionalFormatting>
  <conditionalFormatting sqref="H23 AH23">
    <cfRule type="expression" dxfId="858" priority="293">
      <formula>H23=""</formula>
    </cfRule>
  </conditionalFormatting>
  <conditionalFormatting sqref="I23:J23 AF23:AG23">
    <cfRule type="expression" dxfId="857" priority="292">
      <formula>AND(I23=$BT$2)</formula>
    </cfRule>
  </conditionalFormatting>
  <conditionalFormatting sqref="W23">
    <cfRule type="expression" dxfId="856" priority="290">
      <formula>AND(W23=$BT$2)</formula>
    </cfRule>
  </conditionalFormatting>
  <conditionalFormatting sqref="L23:R23 T23">
    <cfRule type="expression" dxfId="855" priority="288">
      <formula>AND(L23=$BT$2)</formula>
    </cfRule>
  </conditionalFormatting>
  <conditionalFormatting sqref="V23">
    <cfRule type="expression" dxfId="854" priority="287">
      <formula>AND(V23=$BT$2)</formula>
    </cfRule>
  </conditionalFormatting>
  <conditionalFormatting sqref="V23">
    <cfRule type="expression" dxfId="853" priority="286">
      <formula>AND(V23=$BT$2)</formula>
    </cfRule>
  </conditionalFormatting>
  <conditionalFormatting sqref="W23">
    <cfRule type="expression" dxfId="852" priority="285">
      <formula>AND(W23=$BT$2)</formula>
    </cfRule>
  </conditionalFormatting>
  <conditionalFormatting sqref="J23 L23:R23 T23">
    <cfRule type="expression" dxfId="851" priority="284">
      <formula>AND(J23=$BT$2)</formula>
    </cfRule>
  </conditionalFormatting>
  <conditionalFormatting sqref="AC23">
    <cfRule type="expression" dxfId="850" priority="282">
      <formula>AND(AC23=$BT$2)</formula>
    </cfRule>
  </conditionalFormatting>
  <conditionalFormatting sqref="AD23">
    <cfRule type="expression" dxfId="849" priority="281">
      <formula>AND(AD23=$BT$2)</formula>
    </cfRule>
  </conditionalFormatting>
  <conditionalFormatting sqref="Y23:Z23">
    <cfRule type="expression" dxfId="848" priority="280">
      <formula>AND(Y23=$BT$2)</formula>
    </cfRule>
  </conditionalFormatting>
  <conditionalFormatting sqref="AB23">
    <cfRule type="expression" dxfId="847" priority="279">
      <formula>AND(AB23=$BT$2)</formula>
    </cfRule>
  </conditionalFormatting>
  <conditionalFormatting sqref="H24 AH24">
    <cfRule type="expression" dxfId="846" priority="277">
      <formula>AND(H24=$BT$4)</formula>
    </cfRule>
    <cfRule type="expression" dxfId="845" priority="278">
      <formula>AND(H24=$BT$2)</formula>
    </cfRule>
  </conditionalFormatting>
  <conditionalFormatting sqref="H24 AH24">
    <cfRule type="expression" dxfId="844" priority="276">
      <formula>H24=""</formula>
    </cfRule>
  </conditionalFormatting>
  <conditionalFormatting sqref="I24 AG24">
    <cfRule type="expression" dxfId="843" priority="275">
      <formula>AND(I24=$BT$2)</formula>
    </cfRule>
  </conditionalFormatting>
  <conditionalFormatting sqref="AE24">
    <cfRule type="expression" dxfId="842" priority="274">
      <formula>AND(AE24=$BT$2)</formula>
    </cfRule>
  </conditionalFormatting>
  <conditionalFormatting sqref="W24">
    <cfRule type="expression" dxfId="841" priority="273">
      <formula>AND(W24=$BT$2)</formula>
    </cfRule>
  </conditionalFormatting>
  <conditionalFormatting sqref="K24:Q24 U24 S24">
    <cfRule type="expression" dxfId="840" priority="271">
      <formula>AND(K24=$BT$2)</formula>
    </cfRule>
  </conditionalFormatting>
  <conditionalFormatting sqref="V24">
    <cfRule type="expression" dxfId="839" priority="270">
      <formula>AND(V24=$BT$2)</formula>
    </cfRule>
  </conditionalFormatting>
  <conditionalFormatting sqref="V24">
    <cfRule type="expression" dxfId="838" priority="269">
      <formula>AND(V24=$BT$2)</formula>
    </cfRule>
  </conditionalFormatting>
  <conditionalFormatting sqref="W24">
    <cfRule type="expression" dxfId="837" priority="268">
      <formula>AND(W24=$BT$2)</formula>
    </cfRule>
  </conditionalFormatting>
  <conditionalFormatting sqref="K24:Q24 S24">
    <cfRule type="expression" dxfId="836" priority="267">
      <formula>AND(K24=$BT$2)</formula>
    </cfRule>
  </conditionalFormatting>
  <conditionalFormatting sqref="U24">
    <cfRule type="expression" dxfId="835" priority="266">
      <formula>AND(U24=$BT$2)</formula>
    </cfRule>
  </conditionalFormatting>
  <conditionalFormatting sqref="AC24">
    <cfRule type="expression" dxfId="834" priority="265">
      <formula>AND(AC24=$BT$2)</formula>
    </cfRule>
  </conditionalFormatting>
  <conditionalFormatting sqref="AD24">
    <cfRule type="expression" dxfId="833" priority="264">
      <formula>AND(AD24=$BT$2)</formula>
    </cfRule>
  </conditionalFormatting>
  <conditionalFormatting sqref="Y24">
    <cfRule type="expression" dxfId="832" priority="263">
      <formula>AND(Y24=$BT$2)</formula>
    </cfRule>
  </conditionalFormatting>
  <conditionalFormatting sqref="AB24">
    <cfRule type="expression" dxfId="831" priority="262">
      <formula>AND(AB24=$BT$2)</formula>
    </cfRule>
  </conditionalFormatting>
  <conditionalFormatting sqref="H25 AH25">
    <cfRule type="expression" dxfId="830" priority="260">
      <formula>AND(H25=$BT$4)</formula>
    </cfRule>
    <cfRule type="expression" dxfId="829" priority="261">
      <formula>AND(H25=$BT$2)</formula>
    </cfRule>
  </conditionalFormatting>
  <conditionalFormatting sqref="H25 AH25">
    <cfRule type="expression" dxfId="828" priority="259">
      <formula>H25=""</formula>
    </cfRule>
  </conditionalFormatting>
  <conditionalFormatting sqref="I25:J25 AF25:AG25">
    <cfRule type="expression" dxfId="827" priority="258">
      <formula>AND(I25=$BT$2)</formula>
    </cfRule>
  </conditionalFormatting>
  <conditionalFormatting sqref="W25">
    <cfRule type="expression" dxfId="826" priority="256">
      <formula>AND(W25=$BT$2)</formula>
    </cfRule>
  </conditionalFormatting>
  <conditionalFormatting sqref="L25:Q25 U25 S25">
    <cfRule type="expression" dxfId="825" priority="254">
      <formula>AND(L25=$BT$2)</formula>
    </cfRule>
  </conditionalFormatting>
  <conditionalFormatting sqref="V25">
    <cfRule type="expression" dxfId="824" priority="253">
      <formula>AND(V25=$BT$2)</formula>
    </cfRule>
  </conditionalFormatting>
  <conditionalFormatting sqref="V25">
    <cfRule type="expression" dxfId="823" priority="252">
      <formula>AND(V25=$BT$2)</formula>
    </cfRule>
  </conditionalFormatting>
  <conditionalFormatting sqref="W25">
    <cfRule type="expression" dxfId="822" priority="251">
      <formula>AND(W25=$BT$2)</formula>
    </cfRule>
  </conditionalFormatting>
  <conditionalFormatting sqref="J25 L25:Q25 S25">
    <cfRule type="expression" dxfId="821" priority="250">
      <formula>AND(J25=$BT$2)</formula>
    </cfRule>
  </conditionalFormatting>
  <conditionalFormatting sqref="U25">
    <cfRule type="expression" dxfId="820" priority="249">
      <formula>AND(U25=$BT$2)</formula>
    </cfRule>
  </conditionalFormatting>
  <conditionalFormatting sqref="AC25">
    <cfRule type="expression" dxfId="819" priority="248">
      <formula>AND(AC25=$BT$2)</formula>
    </cfRule>
  </conditionalFormatting>
  <conditionalFormatting sqref="AD25">
    <cfRule type="expression" dxfId="818" priority="247">
      <formula>AND(AD25=$BT$2)</formula>
    </cfRule>
  </conditionalFormatting>
  <conditionalFormatting sqref="Y25">
    <cfRule type="expression" dxfId="817" priority="246">
      <formula>AND(Y25=$BT$2)</formula>
    </cfRule>
  </conditionalFormatting>
  <conditionalFormatting sqref="AB25">
    <cfRule type="expression" dxfId="816" priority="245">
      <formula>AND(AB25=$BT$2)</formula>
    </cfRule>
  </conditionalFormatting>
  <conditionalFormatting sqref="H26 AH26">
    <cfRule type="expression" dxfId="815" priority="243">
      <formula>AND(H26=$BT$4)</formula>
    </cfRule>
    <cfRule type="expression" dxfId="814" priority="244">
      <formula>AND(H26=$BT$2)</formula>
    </cfRule>
  </conditionalFormatting>
  <conditionalFormatting sqref="H26 AH26">
    <cfRule type="expression" dxfId="813" priority="242">
      <formula>H26=""</formula>
    </cfRule>
  </conditionalFormatting>
  <conditionalFormatting sqref="I26 AG26">
    <cfRule type="expression" dxfId="812" priority="241">
      <formula>AND(I26=$BT$2)</formula>
    </cfRule>
  </conditionalFormatting>
  <conditionalFormatting sqref="AE26">
    <cfRule type="expression" dxfId="811" priority="240">
      <formula>AND(AE26=$BT$2)</formula>
    </cfRule>
  </conditionalFormatting>
  <conditionalFormatting sqref="L26:Q26 U26">
    <cfRule type="expression" dxfId="810" priority="237">
      <formula>AND(L26=$BT$2)</formula>
    </cfRule>
  </conditionalFormatting>
  <conditionalFormatting sqref="V26">
    <cfRule type="expression" dxfId="809" priority="236">
      <formula>AND(V26=$BT$2)</formula>
    </cfRule>
  </conditionalFormatting>
  <conditionalFormatting sqref="V26">
    <cfRule type="expression" dxfId="808" priority="235">
      <formula>AND(V26=$BT$2)</formula>
    </cfRule>
  </conditionalFormatting>
  <conditionalFormatting sqref="L26:Q26">
    <cfRule type="expression" dxfId="807" priority="233">
      <formula>AND(L26=$BT$2)</formula>
    </cfRule>
  </conditionalFormatting>
  <conditionalFormatting sqref="U26">
    <cfRule type="expression" dxfId="806" priority="232">
      <formula>AND(U26=$BT$2)</formula>
    </cfRule>
  </conditionalFormatting>
  <conditionalFormatting sqref="AC26">
    <cfRule type="expression" dxfId="805" priority="231">
      <formula>AND(AC26=$BT$2)</formula>
    </cfRule>
  </conditionalFormatting>
  <conditionalFormatting sqref="Z26:AA26">
    <cfRule type="expression" dxfId="804" priority="229">
      <formula>AND(Z26=$BT$2)</formula>
    </cfRule>
  </conditionalFormatting>
  <conditionalFormatting sqref="AB26">
    <cfRule type="expression" dxfId="803" priority="228">
      <formula>AND(AB26=$BT$2)</formula>
    </cfRule>
  </conditionalFormatting>
  <conditionalFormatting sqref="H27 AH27">
    <cfRule type="expression" dxfId="802" priority="226">
      <formula>AND(H27=$BT$4)</formula>
    </cfRule>
    <cfRule type="expression" dxfId="801" priority="227">
      <formula>AND(H27=$BT$2)</formula>
    </cfRule>
  </conditionalFormatting>
  <conditionalFormatting sqref="H27 AH27">
    <cfRule type="expression" dxfId="800" priority="225">
      <formula>H27=""</formula>
    </cfRule>
  </conditionalFormatting>
  <conditionalFormatting sqref="I27:J27 AF27:AG27">
    <cfRule type="expression" dxfId="799" priority="224">
      <formula>AND(I27=$BT$2)</formula>
    </cfRule>
  </conditionalFormatting>
  <conditionalFormatting sqref="AE27">
    <cfRule type="expression" dxfId="798" priority="223">
      <formula>AND(AE27=$BT$2)</formula>
    </cfRule>
  </conditionalFormatting>
  <conditionalFormatting sqref="W27">
    <cfRule type="expression" dxfId="797" priority="222">
      <formula>AND(W27=$BT$2)</formula>
    </cfRule>
  </conditionalFormatting>
  <conditionalFormatting sqref="X27">
    <cfRule type="expression" dxfId="796" priority="221">
      <formula>AND(X27=$BT$2)</formula>
    </cfRule>
  </conditionalFormatting>
  <conditionalFormatting sqref="M27:U27">
    <cfRule type="expression" dxfId="795" priority="220">
      <formula>AND(M27=$BT$2)</formula>
    </cfRule>
  </conditionalFormatting>
  <conditionalFormatting sqref="V27">
    <cfRule type="expression" dxfId="794" priority="219">
      <formula>AND(V27=$BT$2)</formula>
    </cfRule>
  </conditionalFormatting>
  <conditionalFormatting sqref="V27">
    <cfRule type="expression" dxfId="793" priority="218">
      <formula>AND(V27=$BT$2)</formula>
    </cfRule>
  </conditionalFormatting>
  <conditionalFormatting sqref="W27">
    <cfRule type="expression" dxfId="792" priority="217">
      <formula>AND(W27=$BT$2)</formula>
    </cfRule>
  </conditionalFormatting>
  <conditionalFormatting sqref="J27 M27:T27">
    <cfRule type="expression" dxfId="791" priority="216">
      <formula>AND(J27=$BT$2)</formula>
    </cfRule>
  </conditionalFormatting>
  <conditionalFormatting sqref="U27">
    <cfRule type="expression" dxfId="790" priority="215">
      <formula>AND(U27=$BT$2)</formula>
    </cfRule>
  </conditionalFormatting>
  <conditionalFormatting sqref="AD27">
    <cfRule type="expression" dxfId="789" priority="213">
      <formula>AND(AD27=$BT$2)</formula>
    </cfRule>
  </conditionalFormatting>
  <conditionalFormatting sqref="Y27:AA27">
    <cfRule type="expression" dxfId="788" priority="212">
      <formula>AND(Y27=$BT$2)</formula>
    </cfRule>
  </conditionalFormatting>
  <conditionalFormatting sqref="AB27">
    <cfRule type="expression" dxfId="787" priority="211">
      <formula>AND(AB27=$BT$2)</formula>
    </cfRule>
  </conditionalFormatting>
  <conditionalFormatting sqref="H28 AH28">
    <cfRule type="expression" dxfId="786" priority="209">
      <formula>AND(H28=$BT$4)</formula>
    </cfRule>
    <cfRule type="expression" dxfId="785" priority="210">
      <formula>AND(H28=$BT$2)</formula>
    </cfRule>
  </conditionalFormatting>
  <conditionalFormatting sqref="H28 AH28">
    <cfRule type="expression" dxfId="784" priority="208">
      <formula>H28=""</formula>
    </cfRule>
  </conditionalFormatting>
  <conditionalFormatting sqref="I28:J28 AF28:AG28">
    <cfRule type="expression" dxfId="783" priority="207">
      <formula>AND(I28=$BT$2)</formula>
    </cfRule>
  </conditionalFormatting>
  <conditionalFormatting sqref="AE28">
    <cfRule type="expression" dxfId="782" priority="206">
      <formula>AND(AE28=$BT$2)</formula>
    </cfRule>
  </conditionalFormatting>
  <conditionalFormatting sqref="W28">
    <cfRule type="expression" dxfId="781" priority="205">
      <formula>AND(W28=$BT$2)</formula>
    </cfRule>
  </conditionalFormatting>
  <conditionalFormatting sqref="X28">
    <cfRule type="expression" dxfId="780" priority="204">
      <formula>AND(X28=$BT$2)</formula>
    </cfRule>
  </conditionalFormatting>
  <conditionalFormatting sqref="K28 O28:U28">
    <cfRule type="expression" dxfId="779" priority="203">
      <formula>AND(K28=$BT$2)</formula>
    </cfRule>
  </conditionalFormatting>
  <conditionalFormatting sqref="V28">
    <cfRule type="expression" dxfId="778" priority="202">
      <formula>AND(V28=$BT$2)</formula>
    </cfRule>
  </conditionalFormatting>
  <conditionalFormatting sqref="V28">
    <cfRule type="expression" dxfId="777" priority="201">
      <formula>AND(V28=$BT$2)</formula>
    </cfRule>
  </conditionalFormatting>
  <conditionalFormatting sqref="W28">
    <cfRule type="expression" dxfId="776" priority="200">
      <formula>AND(W28=$BT$2)</formula>
    </cfRule>
  </conditionalFormatting>
  <conditionalFormatting sqref="J28:K28 O28:T28">
    <cfRule type="expression" dxfId="775" priority="199">
      <formula>AND(J28=$BT$2)</formula>
    </cfRule>
  </conditionalFormatting>
  <conditionalFormatting sqref="U28">
    <cfRule type="expression" dxfId="774" priority="198">
      <formula>AND(U28=$BT$2)</formula>
    </cfRule>
  </conditionalFormatting>
  <conditionalFormatting sqref="AC28">
    <cfRule type="expression" dxfId="773" priority="197">
      <formula>AND(AC28=$BT$2)</formula>
    </cfRule>
  </conditionalFormatting>
  <conditionalFormatting sqref="Y28:Z28">
    <cfRule type="expression" dxfId="772" priority="195">
      <formula>AND(Y28=$BT$2)</formula>
    </cfRule>
  </conditionalFormatting>
  <conditionalFormatting sqref="AE29">
    <cfRule type="expression" dxfId="771" priority="193">
      <formula>AND(AE29=$BT$2)</formula>
    </cfRule>
  </conditionalFormatting>
  <conditionalFormatting sqref="X29">
    <cfRule type="expression" dxfId="770" priority="191">
      <formula>AND(X29=$BT$2)</formula>
    </cfRule>
  </conditionalFormatting>
  <conditionalFormatting sqref="L29 T29 R29 P29 N29">
    <cfRule type="expression" dxfId="769" priority="190">
      <formula>AND(L29=$BT$2)</formula>
    </cfRule>
  </conditionalFormatting>
  <conditionalFormatting sqref="V29">
    <cfRule type="expression" dxfId="768" priority="189">
      <formula>AND(V29=$BT$2)</formula>
    </cfRule>
  </conditionalFormatting>
  <conditionalFormatting sqref="V29">
    <cfRule type="expression" dxfId="767" priority="188">
      <formula>AND(V29=$BT$2)</formula>
    </cfRule>
  </conditionalFormatting>
  <conditionalFormatting sqref="L29 T29 R29 P29 N29">
    <cfRule type="expression" dxfId="766" priority="186">
      <formula>AND(L29=$BT$2)</formula>
    </cfRule>
  </conditionalFormatting>
  <conditionalFormatting sqref="AD29">
    <cfRule type="expression" dxfId="765" priority="183">
      <formula>AND(AD29=$BT$2)</formula>
    </cfRule>
  </conditionalFormatting>
  <conditionalFormatting sqref="Z29">
    <cfRule type="expression" dxfId="764" priority="182">
      <formula>AND(Z29=$BT$2)</formula>
    </cfRule>
  </conditionalFormatting>
  <conditionalFormatting sqref="AB29">
    <cfRule type="expression" dxfId="763" priority="181">
      <formula>AND(AB29=$BT$2)</formula>
    </cfRule>
  </conditionalFormatting>
  <conditionalFormatting sqref="AE30">
    <cfRule type="expression" dxfId="762" priority="180">
      <formula>AND(AE30=$BT$2)</formula>
    </cfRule>
  </conditionalFormatting>
  <conditionalFormatting sqref="W30">
    <cfRule type="expression" dxfId="761" priority="179">
      <formula>AND(W30=$BT$2)</formula>
    </cfRule>
  </conditionalFormatting>
  <conditionalFormatting sqref="L30:M30 U30 S30 O30:P30">
    <cfRule type="expression" dxfId="760" priority="177">
      <formula>AND(L30=$BT$2)</formula>
    </cfRule>
  </conditionalFormatting>
  <conditionalFormatting sqref="W30">
    <cfRule type="expression" dxfId="759" priority="174">
      <formula>AND(W30=$BT$2)</formula>
    </cfRule>
  </conditionalFormatting>
  <conditionalFormatting sqref="L30:M30 S30 O30:P30">
    <cfRule type="expression" dxfId="758" priority="173">
      <formula>AND(L30=$BT$2)</formula>
    </cfRule>
  </conditionalFormatting>
  <conditionalFormatting sqref="U30">
    <cfRule type="expression" dxfId="757" priority="172">
      <formula>AND(U30=$BT$2)</formula>
    </cfRule>
  </conditionalFormatting>
  <conditionalFormatting sqref="AC30">
    <cfRule type="expression" dxfId="756" priority="171">
      <formula>AND(AC30=$BT$2)</formula>
    </cfRule>
  </conditionalFormatting>
  <conditionalFormatting sqref="AD30">
    <cfRule type="expression" dxfId="755" priority="170">
      <formula>AND(AD30=$BT$2)</formula>
    </cfRule>
  </conditionalFormatting>
  <conditionalFormatting sqref="Z30:AA30">
    <cfRule type="expression" dxfId="754" priority="169">
      <formula>AND(Z30=$BT$2)</formula>
    </cfRule>
  </conditionalFormatting>
  <conditionalFormatting sqref="AB30">
    <cfRule type="expression" dxfId="753" priority="168">
      <formula>AND(AB30=$BT$2)</formula>
    </cfRule>
  </conditionalFormatting>
  <conditionalFormatting sqref="L21">
    <cfRule type="expression" dxfId="752" priority="167">
      <formula>AND(L21=$BT$2)</formula>
    </cfRule>
  </conditionalFormatting>
  <conditionalFormatting sqref="L21">
    <cfRule type="expression" dxfId="751" priority="166">
      <formula>AND(L21=$BT$2)</formula>
    </cfRule>
  </conditionalFormatting>
  <conditionalFormatting sqref="M20">
    <cfRule type="expression" dxfId="750" priority="165">
      <formula>AND(M20=$BT$2)</formula>
    </cfRule>
  </conditionalFormatting>
  <conditionalFormatting sqref="M20">
    <cfRule type="expression" dxfId="749" priority="164">
      <formula>AND(M20=$BT$2)</formula>
    </cfRule>
  </conditionalFormatting>
  <conditionalFormatting sqref="N20">
    <cfRule type="expression" dxfId="748" priority="163">
      <formula>AND(N20=$BT$2)</formula>
    </cfRule>
  </conditionalFormatting>
  <conditionalFormatting sqref="N20">
    <cfRule type="expression" dxfId="747" priority="162">
      <formula>AND(N20=$BT$2)</formula>
    </cfRule>
  </conditionalFormatting>
  <conditionalFormatting sqref="Q18">
    <cfRule type="expression" dxfId="746" priority="161">
      <formula>AND(Q18=$BT$2)</formula>
    </cfRule>
  </conditionalFormatting>
  <conditionalFormatting sqref="Q18">
    <cfRule type="expression" dxfId="745" priority="160">
      <formula>AND(Q18=$BT$2)</formula>
    </cfRule>
  </conditionalFormatting>
  <conditionalFormatting sqref="R18">
    <cfRule type="expression" dxfId="744" priority="159">
      <formula>AND(R18=$BT$2)</formula>
    </cfRule>
  </conditionalFormatting>
  <conditionalFormatting sqref="R18">
    <cfRule type="expression" dxfId="743" priority="158">
      <formula>AND(R18=$BT$2)</formula>
    </cfRule>
  </conditionalFormatting>
  <conditionalFormatting sqref="T18">
    <cfRule type="expression" dxfId="742" priority="157">
      <formula>AND(T18=$BT$2)</formula>
    </cfRule>
  </conditionalFormatting>
  <conditionalFormatting sqref="T18">
    <cfRule type="expression" dxfId="741" priority="156">
      <formula>AND(T18=$BT$2)</formula>
    </cfRule>
  </conditionalFormatting>
  <conditionalFormatting sqref="U19">
    <cfRule type="expression" dxfId="740" priority="155">
      <formula>AND(U19=$BT$2)</formula>
    </cfRule>
  </conditionalFormatting>
  <conditionalFormatting sqref="V18">
    <cfRule type="expression" dxfId="739" priority="154">
      <formula>AND(V18=$BT$2)</formula>
    </cfRule>
  </conditionalFormatting>
  <conditionalFormatting sqref="V18">
    <cfRule type="expression" dxfId="738" priority="153">
      <formula>AND(V18=$BT$2)</formula>
    </cfRule>
  </conditionalFormatting>
  <conditionalFormatting sqref="W19">
    <cfRule type="expression" dxfId="737" priority="152">
      <formula>AND(W19=$BT$2)</formula>
    </cfRule>
  </conditionalFormatting>
  <conditionalFormatting sqref="W19">
    <cfRule type="expression" dxfId="736" priority="151">
      <formula>AND(W19=$BT$2)</formula>
    </cfRule>
  </conditionalFormatting>
  <conditionalFormatting sqref="X18">
    <cfRule type="expression" dxfId="735" priority="150">
      <formula>AND(X18=$BT$2)</formula>
    </cfRule>
  </conditionalFormatting>
  <conditionalFormatting sqref="X18">
    <cfRule type="expression" dxfId="734" priority="149">
      <formula>AND(X18=$BT$2)</formula>
    </cfRule>
  </conditionalFormatting>
  <conditionalFormatting sqref="Y18">
    <cfRule type="expression" dxfId="733" priority="148">
      <formula>AND(Y18=$BT$2)</formula>
    </cfRule>
  </conditionalFormatting>
  <conditionalFormatting sqref="Y18">
    <cfRule type="expression" dxfId="732" priority="147">
      <formula>AND(Y18=$BT$2)</formula>
    </cfRule>
  </conditionalFormatting>
  <conditionalFormatting sqref="Y19">
    <cfRule type="expression" dxfId="731" priority="146">
      <formula>AND(Y19=$BT$2)</formula>
    </cfRule>
  </conditionalFormatting>
  <conditionalFormatting sqref="Y19">
    <cfRule type="expression" dxfId="730" priority="145">
      <formula>AND(Y19=$BT$2)</formula>
    </cfRule>
  </conditionalFormatting>
  <conditionalFormatting sqref="AA19">
    <cfRule type="expression" dxfId="729" priority="144">
      <formula>AND(AA19=$BT$2)</formula>
    </cfRule>
  </conditionalFormatting>
  <conditionalFormatting sqref="AA19">
    <cfRule type="expression" dxfId="728" priority="143">
      <formula>AND(AA19=$BT$2)</formula>
    </cfRule>
  </conditionalFormatting>
  <conditionalFormatting sqref="AB18">
    <cfRule type="expression" dxfId="727" priority="142">
      <formula>AND(AB18=$BT$2)</formula>
    </cfRule>
  </conditionalFormatting>
  <conditionalFormatting sqref="AB18">
    <cfRule type="expression" dxfId="726" priority="141">
      <formula>AND(AB18=$BT$2)</formula>
    </cfRule>
  </conditionalFormatting>
  <conditionalFormatting sqref="AC19">
    <cfRule type="expression" dxfId="725" priority="140">
      <formula>AND(AC19=$BT$2)</formula>
    </cfRule>
  </conditionalFormatting>
  <conditionalFormatting sqref="AC19">
    <cfRule type="expression" dxfId="724" priority="139">
      <formula>AND(AC19=$BT$2)</formula>
    </cfRule>
  </conditionalFormatting>
  <conditionalFormatting sqref="AD19">
    <cfRule type="expression" dxfId="723" priority="138">
      <formula>AND(AD19=$BT$2)</formula>
    </cfRule>
  </conditionalFormatting>
  <conditionalFormatting sqref="AD19">
    <cfRule type="expression" dxfId="722" priority="137">
      <formula>AND(AD19=$BT$2)</formula>
    </cfRule>
  </conditionalFormatting>
  <conditionalFormatting sqref="AE19">
    <cfRule type="expression" dxfId="721" priority="136">
      <formula>AND(AE19=$BT$2)</formula>
    </cfRule>
  </conditionalFormatting>
  <conditionalFormatting sqref="AE19">
    <cfRule type="expression" dxfId="720" priority="135">
      <formula>AND(AE19=$BT$2)</formula>
    </cfRule>
  </conditionalFormatting>
  <conditionalFormatting sqref="AE20">
    <cfRule type="expression" dxfId="719" priority="134">
      <formula>AND(AE20=$BT$2)</formula>
    </cfRule>
  </conditionalFormatting>
  <conditionalFormatting sqref="AE20">
    <cfRule type="expression" dxfId="718" priority="133">
      <formula>AND(AE20=$BT$2)</formula>
    </cfRule>
  </conditionalFormatting>
  <conditionalFormatting sqref="AF21">
    <cfRule type="expression" dxfId="717" priority="132">
      <formula>AND(AF21=$BT$2)</formula>
    </cfRule>
  </conditionalFormatting>
  <conditionalFormatting sqref="AF21">
    <cfRule type="expression" dxfId="716" priority="131">
      <formula>AND(AF21=$BT$2)</formula>
    </cfRule>
  </conditionalFormatting>
  <conditionalFormatting sqref="AE22">
    <cfRule type="expression" dxfId="715" priority="130">
      <formula>AND(AE22=$BT$2)</formula>
    </cfRule>
  </conditionalFormatting>
  <conditionalFormatting sqref="AE22">
    <cfRule type="expression" dxfId="714" priority="129">
      <formula>AND(AE22=$BT$2)</formula>
    </cfRule>
  </conditionalFormatting>
  <conditionalFormatting sqref="AE23">
    <cfRule type="expression" dxfId="713" priority="128">
      <formula>AND(AE23=$BT$2)</formula>
    </cfRule>
  </conditionalFormatting>
  <conditionalFormatting sqref="AE23">
    <cfRule type="expression" dxfId="712" priority="127">
      <formula>AND(AE23=$BT$2)</formula>
    </cfRule>
  </conditionalFormatting>
  <conditionalFormatting sqref="AF24">
    <cfRule type="expression" dxfId="711" priority="126">
      <formula>AND(AF24=$BT$2)</formula>
    </cfRule>
  </conditionalFormatting>
  <conditionalFormatting sqref="AF24">
    <cfRule type="expression" dxfId="710" priority="125">
      <formula>AND(AF24=$BT$2)</formula>
    </cfRule>
  </conditionalFormatting>
  <conditionalFormatting sqref="AE25">
    <cfRule type="expression" dxfId="709" priority="124">
      <formula>AND(AE25=$BT$2)</formula>
    </cfRule>
  </conditionalFormatting>
  <conditionalFormatting sqref="AE25">
    <cfRule type="expression" dxfId="708" priority="123">
      <formula>AND(AE25=$BT$2)</formula>
    </cfRule>
  </conditionalFormatting>
  <conditionalFormatting sqref="AF26">
    <cfRule type="expression" dxfId="707" priority="122">
      <formula>AND(AF26=$BT$2)</formula>
    </cfRule>
  </conditionalFormatting>
  <conditionalFormatting sqref="AF26">
    <cfRule type="expression" dxfId="706" priority="121">
      <formula>AND(AF26=$BT$2)</formula>
    </cfRule>
  </conditionalFormatting>
  <conditionalFormatting sqref="AD26">
    <cfRule type="expression" dxfId="705" priority="120">
      <formula>AND(AD26=$BT$2)</formula>
    </cfRule>
  </conditionalFormatting>
  <conditionalFormatting sqref="AD26">
    <cfRule type="expression" dxfId="704" priority="119">
      <formula>AND(AD26=$BT$2)</formula>
    </cfRule>
  </conditionalFormatting>
  <conditionalFormatting sqref="AC27">
    <cfRule type="expression" dxfId="703" priority="118">
      <formula>AND(AC27=$BT$2)</formula>
    </cfRule>
  </conditionalFormatting>
  <conditionalFormatting sqref="AC27">
    <cfRule type="expression" dxfId="702" priority="117">
      <formula>AND(AC27=$BT$2)</formula>
    </cfRule>
  </conditionalFormatting>
  <conditionalFormatting sqref="AD28">
    <cfRule type="expression" dxfId="701" priority="116">
      <formula>AND(AD28=$BT$2)</formula>
    </cfRule>
  </conditionalFormatting>
  <conditionalFormatting sqref="AD28">
    <cfRule type="expression" dxfId="700" priority="115">
      <formula>AND(AD28=$BT$2)</formula>
    </cfRule>
  </conditionalFormatting>
  <conditionalFormatting sqref="AC29">
    <cfRule type="expression" dxfId="699" priority="114">
      <formula>AND(AC29=$BT$2)</formula>
    </cfRule>
  </conditionalFormatting>
  <conditionalFormatting sqref="AC29">
    <cfRule type="expression" dxfId="698" priority="113">
      <formula>AND(AC29=$BT$2)</formula>
    </cfRule>
  </conditionalFormatting>
  <conditionalFormatting sqref="AB28">
    <cfRule type="expression" dxfId="697" priority="112">
      <formula>AND(AB28=$BT$2)</formula>
    </cfRule>
  </conditionalFormatting>
  <conditionalFormatting sqref="AB28">
    <cfRule type="expression" dxfId="696" priority="111">
      <formula>AND(AB28=$BT$2)</formula>
    </cfRule>
  </conditionalFormatting>
  <conditionalFormatting sqref="AA28">
    <cfRule type="expression" dxfId="695" priority="110">
      <formula>AND(AA28=$BT$2)</formula>
    </cfRule>
  </conditionalFormatting>
  <conditionalFormatting sqref="AA28">
    <cfRule type="expression" dxfId="694" priority="109">
      <formula>AND(AA28=$BT$2)</formula>
    </cfRule>
  </conditionalFormatting>
  <conditionalFormatting sqref="AA29">
    <cfRule type="expression" dxfId="693" priority="108">
      <formula>AND(AA29=$BT$2)</formula>
    </cfRule>
  </conditionalFormatting>
  <conditionalFormatting sqref="AA29">
    <cfRule type="expression" dxfId="692" priority="107">
      <formula>AND(AA29=$BT$2)</formula>
    </cfRule>
  </conditionalFormatting>
  <conditionalFormatting sqref="Y29">
    <cfRule type="expression" dxfId="691" priority="106">
      <formula>AND(Y29=$BT$2)</formula>
    </cfRule>
  </conditionalFormatting>
  <conditionalFormatting sqref="Y29">
    <cfRule type="expression" dxfId="690" priority="105">
      <formula>AND(Y29=$BT$2)</formula>
    </cfRule>
  </conditionalFormatting>
  <conditionalFormatting sqref="Y30">
    <cfRule type="expression" dxfId="689" priority="104">
      <formula>AND(Y30=$BT$2)</formula>
    </cfRule>
  </conditionalFormatting>
  <conditionalFormatting sqref="Y30">
    <cfRule type="expression" dxfId="688" priority="103">
      <formula>AND(Y30=$BT$2)</formula>
    </cfRule>
  </conditionalFormatting>
  <conditionalFormatting sqref="X30">
    <cfRule type="expression" dxfId="687" priority="102">
      <formula>AND(X30=$BT$2)</formula>
    </cfRule>
  </conditionalFormatting>
  <conditionalFormatting sqref="X30">
    <cfRule type="expression" dxfId="686" priority="101">
      <formula>AND(X30=$BT$2)</formula>
    </cfRule>
  </conditionalFormatting>
  <conditionalFormatting sqref="W29">
    <cfRule type="expression" dxfId="685" priority="100">
      <formula>AND(W29=$BT$2)</formula>
    </cfRule>
  </conditionalFormatting>
  <conditionalFormatting sqref="W29">
    <cfRule type="expression" dxfId="684" priority="99">
      <formula>AND(W29=$BT$2)</formula>
    </cfRule>
  </conditionalFormatting>
  <conditionalFormatting sqref="V30">
    <cfRule type="expression" dxfId="683" priority="98">
      <formula>AND(V30=$BT$2)</formula>
    </cfRule>
  </conditionalFormatting>
  <conditionalFormatting sqref="V30">
    <cfRule type="expression" dxfId="682" priority="97">
      <formula>AND(V30=$BT$2)</formula>
    </cfRule>
  </conditionalFormatting>
  <conditionalFormatting sqref="U29">
    <cfRule type="expression" dxfId="681" priority="96">
      <formula>AND(U29=$BT$2)</formula>
    </cfRule>
  </conditionalFormatting>
  <conditionalFormatting sqref="U29">
    <cfRule type="expression" dxfId="680" priority="95">
      <formula>AND(U29=$BT$2)</formula>
    </cfRule>
  </conditionalFormatting>
  <conditionalFormatting sqref="T30">
    <cfRule type="expression" dxfId="679" priority="94">
      <formula>AND(T30=$BT$2)</formula>
    </cfRule>
  </conditionalFormatting>
  <conditionalFormatting sqref="T30">
    <cfRule type="expression" dxfId="678" priority="93">
      <formula>AND(T30=$BT$2)</formula>
    </cfRule>
  </conditionalFormatting>
  <conditionalFormatting sqref="S29">
    <cfRule type="expression" dxfId="677" priority="92">
      <formula>AND(S29=$BT$2)</formula>
    </cfRule>
  </conditionalFormatting>
  <conditionalFormatting sqref="S29">
    <cfRule type="expression" dxfId="676" priority="91">
      <formula>AND(S29=$BT$2)</formula>
    </cfRule>
  </conditionalFormatting>
  <conditionalFormatting sqref="R30">
    <cfRule type="expression" dxfId="675" priority="90">
      <formula>AND(R30=$BT$2)</formula>
    </cfRule>
  </conditionalFormatting>
  <conditionalFormatting sqref="R30">
    <cfRule type="expression" dxfId="674" priority="89">
      <formula>AND(R30=$BT$2)</formula>
    </cfRule>
  </conditionalFormatting>
  <conditionalFormatting sqref="Q30">
    <cfRule type="expression" dxfId="673" priority="88">
      <formula>AND(Q30=$BT$2)</formula>
    </cfRule>
  </conditionalFormatting>
  <conditionalFormatting sqref="Q30">
    <cfRule type="expression" dxfId="672" priority="87">
      <formula>AND(Q30=$BT$2)</formula>
    </cfRule>
  </conditionalFormatting>
  <conditionalFormatting sqref="Q29">
    <cfRule type="expression" dxfId="671" priority="86">
      <formula>AND(Q29=$BT$2)</formula>
    </cfRule>
  </conditionalFormatting>
  <conditionalFormatting sqref="Q29">
    <cfRule type="expression" dxfId="670" priority="85">
      <formula>AND(Q29=$BT$2)</formula>
    </cfRule>
  </conditionalFormatting>
  <conditionalFormatting sqref="O29">
    <cfRule type="expression" dxfId="669" priority="84">
      <formula>AND(O29=$BT$2)</formula>
    </cfRule>
  </conditionalFormatting>
  <conditionalFormatting sqref="O29">
    <cfRule type="expression" dxfId="668" priority="83">
      <formula>AND(O29=$BT$2)</formula>
    </cfRule>
  </conditionalFormatting>
  <conditionalFormatting sqref="N28">
    <cfRule type="expression" dxfId="667" priority="82">
      <formula>AND(N28=$BT$2)</formula>
    </cfRule>
  </conditionalFormatting>
  <conditionalFormatting sqref="N28">
    <cfRule type="expression" dxfId="666" priority="81">
      <formula>AND(N28=$BT$2)</formula>
    </cfRule>
  </conditionalFormatting>
  <conditionalFormatting sqref="N30">
    <cfRule type="expression" dxfId="665" priority="80">
      <formula>AND(N30=$BT$2)</formula>
    </cfRule>
  </conditionalFormatting>
  <conditionalFormatting sqref="N30">
    <cfRule type="expression" dxfId="664" priority="79">
      <formula>AND(N30=$BT$2)</formula>
    </cfRule>
  </conditionalFormatting>
  <conditionalFormatting sqref="M29">
    <cfRule type="expression" dxfId="663" priority="78">
      <formula>AND(M29=$BT$2)</formula>
    </cfRule>
  </conditionalFormatting>
  <conditionalFormatting sqref="M29">
    <cfRule type="expression" dxfId="662" priority="77">
      <formula>AND(M29=$BT$2)</formula>
    </cfRule>
  </conditionalFormatting>
  <conditionalFormatting sqref="M28">
    <cfRule type="expression" dxfId="661" priority="76">
      <formula>AND(M28=$BT$2)</formula>
    </cfRule>
  </conditionalFormatting>
  <conditionalFormatting sqref="M28">
    <cfRule type="expression" dxfId="660" priority="75">
      <formula>AND(M28=$BT$2)</formula>
    </cfRule>
  </conditionalFormatting>
  <conditionalFormatting sqref="L28">
    <cfRule type="expression" dxfId="659" priority="74">
      <formula>AND(L28=$BT$2)</formula>
    </cfRule>
  </conditionalFormatting>
  <conditionalFormatting sqref="L28">
    <cfRule type="expression" dxfId="658" priority="73">
      <formula>AND(L28=$BT$2)</formula>
    </cfRule>
  </conditionalFormatting>
  <conditionalFormatting sqref="L27">
    <cfRule type="expression" dxfId="657" priority="72">
      <formula>AND(L27=$BT$2)</formula>
    </cfRule>
  </conditionalFormatting>
  <conditionalFormatting sqref="L27">
    <cfRule type="expression" dxfId="656" priority="71">
      <formula>AND(L27=$BT$2)</formula>
    </cfRule>
  </conditionalFormatting>
  <conditionalFormatting sqref="K27">
    <cfRule type="expression" dxfId="655" priority="70">
      <formula>AND(K27=$BT$2)</formula>
    </cfRule>
  </conditionalFormatting>
  <conditionalFormatting sqref="K27">
    <cfRule type="expression" dxfId="654" priority="69">
      <formula>AND(K27=$BT$2)</formula>
    </cfRule>
  </conditionalFormatting>
  <conditionalFormatting sqref="K26">
    <cfRule type="expression" dxfId="653" priority="68">
      <formula>AND(K26=$BT$2)</formula>
    </cfRule>
  </conditionalFormatting>
  <conditionalFormatting sqref="K26">
    <cfRule type="expression" dxfId="652" priority="67">
      <formula>AND(K26=$BT$2)</formula>
    </cfRule>
  </conditionalFormatting>
  <conditionalFormatting sqref="K25">
    <cfRule type="expression" dxfId="651" priority="66">
      <formula>AND(K25=$BT$2)</formula>
    </cfRule>
  </conditionalFormatting>
  <conditionalFormatting sqref="K25">
    <cfRule type="expression" dxfId="650" priority="65">
      <formula>AND(K25=$BT$2)</formula>
    </cfRule>
  </conditionalFormatting>
  <conditionalFormatting sqref="J26">
    <cfRule type="expression" dxfId="649" priority="64">
      <formula>AND(J26=$BT$2)</formula>
    </cfRule>
  </conditionalFormatting>
  <conditionalFormatting sqref="J26">
    <cfRule type="expression" dxfId="648" priority="63">
      <formula>AND(J26=$BT$2)</formula>
    </cfRule>
  </conditionalFormatting>
  <conditionalFormatting sqref="J24">
    <cfRule type="expression" dxfId="647" priority="62">
      <formula>AND(J24=$BT$2)</formula>
    </cfRule>
  </conditionalFormatting>
  <conditionalFormatting sqref="J24">
    <cfRule type="expression" dxfId="646" priority="61">
      <formula>AND(J24=$BT$2)</formula>
    </cfRule>
  </conditionalFormatting>
  <conditionalFormatting sqref="K23">
    <cfRule type="expression" dxfId="645" priority="60">
      <formula>AND(K23=$BT$2)</formula>
    </cfRule>
  </conditionalFormatting>
  <conditionalFormatting sqref="K23">
    <cfRule type="expression" dxfId="644" priority="59">
      <formula>AND(K23=$BT$2)</formula>
    </cfRule>
  </conditionalFormatting>
  <conditionalFormatting sqref="J22">
    <cfRule type="expression" dxfId="643" priority="58">
      <formula>AND(J22=$BT$2)</formula>
    </cfRule>
  </conditionalFormatting>
  <conditionalFormatting sqref="J22">
    <cfRule type="expression" dxfId="642" priority="57">
      <formula>AND(J22=$BT$2)</formula>
    </cfRule>
  </conditionalFormatting>
  <conditionalFormatting sqref="K21">
    <cfRule type="expression" dxfId="641" priority="56">
      <formula>AND(K21=$BT$2)</formula>
    </cfRule>
  </conditionalFormatting>
  <conditionalFormatting sqref="K21">
    <cfRule type="expression" dxfId="640" priority="55">
      <formula>AND(K21=$BT$2)</formula>
    </cfRule>
  </conditionalFormatting>
  <conditionalFormatting sqref="U22">
    <cfRule type="expression" dxfId="639" priority="54">
      <formula>AND(U22=$BT$2)</formula>
    </cfRule>
  </conditionalFormatting>
  <conditionalFormatting sqref="U22">
    <cfRule type="expression" dxfId="638" priority="53">
      <formula>AND(U22=$BT$2)</formula>
    </cfRule>
  </conditionalFormatting>
  <conditionalFormatting sqref="U23">
    <cfRule type="expression" dxfId="637" priority="52">
      <formula>AND(U23=$BT$2)</formula>
    </cfRule>
  </conditionalFormatting>
  <conditionalFormatting sqref="U23">
    <cfRule type="expression" dxfId="636" priority="51">
      <formula>AND(U23=$BT$2)</formula>
    </cfRule>
  </conditionalFormatting>
  <conditionalFormatting sqref="T22">
    <cfRule type="expression" dxfId="635" priority="50">
      <formula>AND(T22=$BT$2)</formula>
    </cfRule>
  </conditionalFormatting>
  <conditionalFormatting sqref="T22">
    <cfRule type="expression" dxfId="634" priority="49">
      <formula>AND(T22=$BT$2)</formula>
    </cfRule>
  </conditionalFormatting>
  <conditionalFormatting sqref="S22">
    <cfRule type="expression" dxfId="633" priority="48">
      <formula>AND(S22=$BT$2)</formula>
    </cfRule>
  </conditionalFormatting>
  <conditionalFormatting sqref="S22">
    <cfRule type="expression" dxfId="632" priority="47">
      <formula>AND(S22=$BT$2)</formula>
    </cfRule>
  </conditionalFormatting>
  <conditionalFormatting sqref="S23">
    <cfRule type="expression" dxfId="631" priority="46">
      <formula>AND(S23=$BT$2)</formula>
    </cfRule>
  </conditionalFormatting>
  <conditionalFormatting sqref="S23">
    <cfRule type="expression" dxfId="630" priority="45">
      <formula>AND(S23=$BT$2)</formula>
    </cfRule>
  </conditionalFormatting>
  <conditionalFormatting sqref="T24">
    <cfRule type="expression" dxfId="629" priority="44">
      <formula>AND(T24=$BT$2)</formula>
    </cfRule>
  </conditionalFormatting>
  <conditionalFormatting sqref="T24">
    <cfRule type="expression" dxfId="628" priority="43">
      <formula>AND(T24=$BT$2)</formula>
    </cfRule>
  </conditionalFormatting>
  <conditionalFormatting sqref="T25">
    <cfRule type="expression" dxfId="627" priority="42">
      <formula>AND(T25=$BT$2)</formula>
    </cfRule>
  </conditionalFormatting>
  <conditionalFormatting sqref="T25">
    <cfRule type="expression" dxfId="626" priority="41">
      <formula>AND(T25=$BT$2)</formula>
    </cfRule>
  </conditionalFormatting>
  <conditionalFormatting sqref="T26">
    <cfRule type="expression" dxfId="625" priority="40">
      <formula>AND(T26=$BT$2)</formula>
    </cfRule>
  </conditionalFormatting>
  <conditionalFormatting sqref="T26">
    <cfRule type="expression" dxfId="624" priority="39">
      <formula>AND(T26=$BT$2)</formula>
    </cfRule>
  </conditionalFormatting>
  <conditionalFormatting sqref="S26">
    <cfRule type="expression" dxfId="623" priority="38">
      <formula>AND(S26=$BT$2)</formula>
    </cfRule>
  </conditionalFormatting>
  <conditionalFormatting sqref="S26">
    <cfRule type="expression" dxfId="622" priority="37">
      <formula>AND(S26=$BT$2)</formula>
    </cfRule>
  </conditionalFormatting>
  <conditionalFormatting sqref="R26">
    <cfRule type="expression" dxfId="621" priority="36">
      <formula>AND(R26=$BT$2)</formula>
    </cfRule>
  </conditionalFormatting>
  <conditionalFormatting sqref="R26">
    <cfRule type="expression" dxfId="620" priority="35">
      <formula>AND(R26=$BT$2)</formula>
    </cfRule>
  </conditionalFormatting>
  <conditionalFormatting sqref="R25">
    <cfRule type="expression" dxfId="619" priority="34">
      <formula>AND(R25=$BT$2)</formula>
    </cfRule>
  </conditionalFormatting>
  <conditionalFormatting sqref="R25">
    <cfRule type="expression" dxfId="618" priority="33">
      <formula>AND(R25=$BT$2)</formula>
    </cfRule>
  </conditionalFormatting>
  <conditionalFormatting sqref="R24">
    <cfRule type="expression" dxfId="617" priority="32">
      <formula>AND(R24=$BT$2)</formula>
    </cfRule>
  </conditionalFormatting>
  <conditionalFormatting sqref="R24">
    <cfRule type="expression" dxfId="616" priority="31">
      <formula>AND(R24=$BT$2)</formula>
    </cfRule>
  </conditionalFormatting>
  <conditionalFormatting sqref="X22">
    <cfRule type="expression" dxfId="615" priority="30">
      <formula>AND(X22=$BT$2)</formula>
    </cfRule>
  </conditionalFormatting>
  <conditionalFormatting sqref="X22">
    <cfRule type="expression" dxfId="614" priority="29">
      <formula>AND(X22=$BT$2)</formula>
    </cfRule>
  </conditionalFormatting>
  <conditionalFormatting sqref="Y22">
    <cfRule type="expression" dxfId="613" priority="28">
      <formula>AND(Y22=$BT$2)</formula>
    </cfRule>
  </conditionalFormatting>
  <conditionalFormatting sqref="Y22">
    <cfRule type="expression" dxfId="612" priority="27">
      <formula>AND(Y22=$BT$2)</formula>
    </cfRule>
  </conditionalFormatting>
  <conditionalFormatting sqref="Z22">
    <cfRule type="expression" dxfId="611" priority="26">
      <formula>AND(Z22=$BT$2)</formula>
    </cfRule>
  </conditionalFormatting>
  <conditionalFormatting sqref="Z22">
    <cfRule type="expression" dxfId="610" priority="25">
      <formula>AND(Z22=$BT$2)</formula>
    </cfRule>
  </conditionalFormatting>
  <conditionalFormatting sqref="AA22">
    <cfRule type="expression" dxfId="609" priority="24">
      <formula>AND(AA22=$BT$2)</formula>
    </cfRule>
  </conditionalFormatting>
  <conditionalFormatting sqref="AA22">
    <cfRule type="expression" dxfId="608" priority="23">
      <formula>AND(AA22=$BT$2)</formula>
    </cfRule>
  </conditionalFormatting>
  <conditionalFormatting sqref="AA23">
    <cfRule type="expression" dxfId="607" priority="22">
      <formula>AND(AA23=$BT$2)</formula>
    </cfRule>
  </conditionalFormatting>
  <conditionalFormatting sqref="AA23">
    <cfRule type="expression" dxfId="606" priority="21">
      <formula>AND(AA23=$BT$2)</formula>
    </cfRule>
  </conditionalFormatting>
  <conditionalFormatting sqref="AA24">
    <cfRule type="expression" dxfId="605" priority="20">
      <formula>AND(AA24=$BT$2)</formula>
    </cfRule>
  </conditionalFormatting>
  <conditionalFormatting sqref="AA24">
    <cfRule type="expression" dxfId="604" priority="19">
      <formula>AND(AA24=$BT$2)</formula>
    </cfRule>
  </conditionalFormatting>
  <conditionalFormatting sqref="AA25">
    <cfRule type="expression" dxfId="603" priority="18">
      <formula>AND(AA25=$BT$2)</formula>
    </cfRule>
  </conditionalFormatting>
  <conditionalFormatting sqref="AA25">
    <cfRule type="expression" dxfId="602" priority="17">
      <formula>AND(AA25=$BT$2)</formula>
    </cfRule>
  </conditionalFormatting>
  <conditionalFormatting sqref="Z25">
    <cfRule type="expression" dxfId="601" priority="16">
      <formula>AND(Z25=$BT$2)</formula>
    </cfRule>
  </conditionalFormatting>
  <conditionalFormatting sqref="Z25">
    <cfRule type="expression" dxfId="600" priority="15">
      <formula>AND(Z25=$BT$2)</formula>
    </cfRule>
  </conditionalFormatting>
  <conditionalFormatting sqref="Z24">
    <cfRule type="expression" dxfId="599" priority="14">
      <formula>AND(Z24=$BT$2)</formula>
    </cfRule>
  </conditionalFormatting>
  <conditionalFormatting sqref="Z24">
    <cfRule type="expression" dxfId="598" priority="13">
      <formula>AND(Z24=$BT$2)</formula>
    </cfRule>
  </conditionalFormatting>
  <conditionalFormatting sqref="X24">
    <cfRule type="expression" dxfId="597" priority="12">
      <formula>AND(X24=$BT$2)</formula>
    </cfRule>
  </conditionalFormatting>
  <conditionalFormatting sqref="X24">
    <cfRule type="expression" dxfId="596" priority="11">
      <formula>AND(X24=$BT$2)</formula>
    </cfRule>
  </conditionalFormatting>
  <conditionalFormatting sqref="X23">
    <cfRule type="expression" dxfId="595" priority="10">
      <formula>AND(X23=$BT$2)</formula>
    </cfRule>
  </conditionalFormatting>
  <conditionalFormatting sqref="X23">
    <cfRule type="expression" dxfId="594" priority="9">
      <formula>AND(X23=$BT$2)</formula>
    </cfRule>
  </conditionalFormatting>
  <conditionalFormatting sqref="X25">
    <cfRule type="expression" dxfId="593" priority="8">
      <formula>AND(X25=$BT$2)</formula>
    </cfRule>
  </conditionalFormatting>
  <conditionalFormatting sqref="X25">
    <cfRule type="expression" dxfId="592" priority="7">
      <formula>AND(X25=$BT$2)</formula>
    </cfRule>
  </conditionalFormatting>
  <conditionalFormatting sqref="X26">
    <cfRule type="expression" dxfId="591" priority="6">
      <formula>AND(X26=$BT$2)</formula>
    </cfRule>
  </conditionalFormatting>
  <conditionalFormatting sqref="X26">
    <cfRule type="expression" dxfId="590" priority="5">
      <formula>AND(X26=$BT$2)</formula>
    </cfRule>
  </conditionalFormatting>
  <conditionalFormatting sqref="W26">
    <cfRule type="expression" dxfId="589" priority="4">
      <formula>AND(W26=$BT$2)</formula>
    </cfRule>
  </conditionalFormatting>
  <conditionalFormatting sqref="W26">
    <cfRule type="expression" dxfId="588" priority="3">
      <formula>AND(W26=$BT$2)</formula>
    </cfRule>
  </conditionalFormatting>
  <conditionalFormatting sqref="Y26">
    <cfRule type="expression" dxfId="587" priority="2">
      <formula>AND(Y26=$BT$2)</formula>
    </cfRule>
  </conditionalFormatting>
  <conditionalFormatting sqref="Y26">
    <cfRule type="expression" dxfId="586" priority="1">
      <formula>AND(Y26=$BT$2)</formula>
    </cfRule>
  </conditionalFormatting>
  <dataValidations count="7">
    <dataValidation type="list" allowBlank="1" showInputMessage="1" showErrorMessage="1" sqref="I7:AC8">
      <formula1>$BL$2:$BL$14</formula1>
    </dataValidation>
    <dataValidation type="list" allowBlank="1" showInputMessage="1" showErrorMessage="1" sqref="AJ53">
      <formula1>$BU$2:$BU$3</formula1>
    </dataValidation>
    <dataValidation type="list" allowBlank="1" showInputMessage="1" showErrorMessage="1" sqref="H35:AH47 J19:W28 K18:Y18 K29:W30 J29 AG18:AG30 I18:I30 AF19:AF29 Z18:AE30 X19:Y30">
      <formula1>$BT$2:$BT$3</formula1>
    </dataValidation>
    <dataValidation type="list" allowBlank="1" showInputMessage="1" showErrorMessage="1" sqref="BA21:BF21">
      <formula1>$BN$2:$BN$3</formula1>
    </dataValidation>
    <dataValidation type="list" allowBlank="1" showInputMessage="1" showErrorMessage="1" sqref="BD15:BF15">
      <formula1>$BW$2:$BW$3</formula1>
    </dataValidation>
    <dataValidation type="list" allowBlank="1" showInputMessage="1" showErrorMessage="1" sqref="I31:AG31 I17:AG17 AH17:AI31 G17:H31">
      <formula1>$BT$2:$BT$4</formula1>
    </dataValidation>
    <dataValidation type="list" allowBlank="1" showInputMessage="1" showErrorMessage="1" sqref="AZ2:BF2">
      <formula1>$BH$2:$BH$9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13" zoomScale="85" zoomScaleNormal="100" zoomScaleSheetLayoutView="85" workbookViewId="0">
      <selection activeCell="AS33" sqref="AS33"/>
    </sheetView>
  </sheetViews>
  <sheetFormatPr defaultRowHeight="16.5"/>
  <cols>
    <col min="1" max="58" width="2.625" style="17" customWidth="1"/>
    <col min="59" max="63" width="8.875" style="17"/>
    <col min="64" max="64" width="16.25" style="17" bestFit="1" customWidth="1"/>
    <col min="65" max="65" width="15" style="17" bestFit="1" customWidth="1"/>
    <col min="66" max="66" width="10" style="17" customWidth="1"/>
    <col min="67" max="254" width="8.875" style="17"/>
    <col min="255" max="310" width="2.125" style="17" customWidth="1"/>
    <col min="311" max="510" width="8.875" style="17"/>
    <col min="511" max="566" width="2.125" style="17" customWidth="1"/>
    <col min="567" max="766" width="8.875" style="17"/>
    <col min="767" max="822" width="2.125" style="17" customWidth="1"/>
    <col min="823" max="1022" width="8.875" style="17"/>
    <col min="1023" max="1078" width="2.125" style="17" customWidth="1"/>
    <col min="1079" max="1278" width="8.875" style="17"/>
    <col min="1279" max="1334" width="2.125" style="17" customWidth="1"/>
    <col min="1335" max="1534" width="8.875" style="17"/>
    <col min="1535" max="1590" width="2.125" style="17" customWidth="1"/>
    <col min="1591" max="1790" width="8.875" style="17"/>
    <col min="1791" max="1846" width="2.125" style="17" customWidth="1"/>
    <col min="1847" max="2046" width="8.875" style="17"/>
    <col min="2047" max="2102" width="2.125" style="17" customWidth="1"/>
    <col min="2103" max="2302" width="8.875" style="17"/>
    <col min="2303" max="2358" width="2.125" style="17" customWidth="1"/>
    <col min="2359" max="2558" width="8.875" style="17"/>
    <col min="2559" max="2614" width="2.125" style="17" customWidth="1"/>
    <col min="2615" max="2814" width="8.875" style="17"/>
    <col min="2815" max="2870" width="2.125" style="17" customWidth="1"/>
    <col min="2871" max="3070" width="8.875" style="17"/>
    <col min="3071" max="3126" width="2.125" style="17" customWidth="1"/>
    <col min="3127" max="3326" width="8.875" style="17"/>
    <col min="3327" max="3382" width="2.125" style="17" customWidth="1"/>
    <col min="3383" max="3582" width="8.875" style="17"/>
    <col min="3583" max="3638" width="2.125" style="17" customWidth="1"/>
    <col min="3639" max="3838" width="8.875" style="17"/>
    <col min="3839" max="3894" width="2.125" style="17" customWidth="1"/>
    <col min="3895" max="4094" width="8.875" style="17"/>
    <col min="4095" max="4150" width="2.125" style="17" customWidth="1"/>
    <col min="4151" max="4350" width="8.875" style="17"/>
    <col min="4351" max="4406" width="2.125" style="17" customWidth="1"/>
    <col min="4407" max="4606" width="8.875" style="17"/>
    <col min="4607" max="4662" width="2.125" style="17" customWidth="1"/>
    <col min="4663" max="4862" width="8.875" style="17"/>
    <col min="4863" max="4918" width="2.125" style="17" customWidth="1"/>
    <col min="4919" max="5118" width="8.875" style="17"/>
    <col min="5119" max="5174" width="2.125" style="17" customWidth="1"/>
    <col min="5175" max="5374" width="8.875" style="17"/>
    <col min="5375" max="5430" width="2.125" style="17" customWidth="1"/>
    <col min="5431" max="5630" width="8.875" style="17"/>
    <col min="5631" max="5686" width="2.125" style="17" customWidth="1"/>
    <col min="5687" max="5886" width="8.875" style="17"/>
    <col min="5887" max="5942" width="2.125" style="17" customWidth="1"/>
    <col min="5943" max="6142" width="8.875" style="17"/>
    <col min="6143" max="6198" width="2.125" style="17" customWidth="1"/>
    <col min="6199" max="6398" width="8.875" style="17"/>
    <col min="6399" max="6454" width="2.125" style="17" customWidth="1"/>
    <col min="6455" max="6654" width="8.875" style="17"/>
    <col min="6655" max="6710" width="2.125" style="17" customWidth="1"/>
    <col min="6711" max="6910" width="8.875" style="17"/>
    <col min="6911" max="6966" width="2.125" style="17" customWidth="1"/>
    <col min="6967" max="7166" width="8.875" style="17"/>
    <col min="7167" max="7222" width="2.125" style="17" customWidth="1"/>
    <col min="7223" max="7422" width="8.875" style="17"/>
    <col min="7423" max="7478" width="2.125" style="17" customWidth="1"/>
    <col min="7479" max="7678" width="8.875" style="17"/>
    <col min="7679" max="7734" width="2.125" style="17" customWidth="1"/>
    <col min="7735" max="7934" width="8.875" style="17"/>
    <col min="7935" max="7990" width="2.125" style="17" customWidth="1"/>
    <col min="7991" max="8190" width="8.875" style="17"/>
    <col min="8191" max="8246" width="2.125" style="17" customWidth="1"/>
    <col min="8247" max="8446" width="8.875" style="17"/>
    <col min="8447" max="8502" width="2.125" style="17" customWidth="1"/>
    <col min="8503" max="8702" width="8.875" style="17"/>
    <col min="8703" max="8758" width="2.125" style="17" customWidth="1"/>
    <col min="8759" max="8958" width="8.875" style="17"/>
    <col min="8959" max="9014" width="2.125" style="17" customWidth="1"/>
    <col min="9015" max="9214" width="8.875" style="17"/>
    <col min="9215" max="9270" width="2.125" style="17" customWidth="1"/>
    <col min="9271" max="9470" width="8.875" style="17"/>
    <col min="9471" max="9526" width="2.125" style="17" customWidth="1"/>
    <col min="9527" max="9726" width="8.875" style="17"/>
    <col min="9727" max="9782" width="2.125" style="17" customWidth="1"/>
    <col min="9783" max="9982" width="8.875" style="17"/>
    <col min="9983" max="10038" width="2.125" style="17" customWidth="1"/>
    <col min="10039" max="10238" width="8.875" style="17"/>
    <col min="10239" max="10294" width="2.125" style="17" customWidth="1"/>
    <col min="10295" max="10494" width="8.875" style="17"/>
    <col min="10495" max="10550" width="2.125" style="17" customWidth="1"/>
    <col min="10551" max="10750" width="8.875" style="17"/>
    <col min="10751" max="10806" width="2.125" style="17" customWidth="1"/>
    <col min="10807" max="11006" width="8.875" style="17"/>
    <col min="11007" max="11062" width="2.125" style="17" customWidth="1"/>
    <col min="11063" max="11262" width="8.875" style="17"/>
    <col min="11263" max="11318" width="2.125" style="17" customWidth="1"/>
    <col min="11319" max="11518" width="8.875" style="17"/>
    <col min="11519" max="11574" width="2.125" style="17" customWidth="1"/>
    <col min="11575" max="11774" width="8.875" style="17"/>
    <col min="11775" max="11830" width="2.125" style="17" customWidth="1"/>
    <col min="11831" max="12030" width="8.875" style="17"/>
    <col min="12031" max="12086" width="2.125" style="17" customWidth="1"/>
    <col min="12087" max="12286" width="8.875" style="17"/>
    <col min="12287" max="12342" width="2.125" style="17" customWidth="1"/>
    <col min="12343" max="12542" width="8.875" style="17"/>
    <col min="12543" max="12598" width="2.125" style="17" customWidth="1"/>
    <col min="12599" max="12798" width="8.875" style="17"/>
    <col min="12799" max="12854" width="2.125" style="17" customWidth="1"/>
    <col min="12855" max="13054" width="8.875" style="17"/>
    <col min="13055" max="13110" width="2.125" style="17" customWidth="1"/>
    <col min="13111" max="13310" width="8.875" style="17"/>
    <col min="13311" max="13366" width="2.125" style="17" customWidth="1"/>
    <col min="13367" max="13566" width="8.875" style="17"/>
    <col min="13567" max="13622" width="2.125" style="17" customWidth="1"/>
    <col min="13623" max="13822" width="8.875" style="17"/>
    <col min="13823" max="13878" width="2.125" style="17" customWidth="1"/>
    <col min="13879" max="14078" width="8.875" style="17"/>
    <col min="14079" max="14134" width="2.125" style="17" customWidth="1"/>
    <col min="14135" max="14334" width="8.875" style="17"/>
    <col min="14335" max="14390" width="2.125" style="17" customWidth="1"/>
    <col min="14391" max="14590" width="8.875" style="17"/>
    <col min="14591" max="14646" width="2.125" style="17" customWidth="1"/>
    <col min="14647" max="14846" width="8.875" style="17"/>
    <col min="14847" max="14902" width="2.125" style="17" customWidth="1"/>
    <col min="14903" max="15102" width="8.875" style="17"/>
    <col min="15103" max="15158" width="2.125" style="17" customWidth="1"/>
    <col min="15159" max="15358" width="8.875" style="17"/>
    <col min="15359" max="15414" width="2.125" style="17" customWidth="1"/>
    <col min="15415" max="15614" width="8.875" style="17"/>
    <col min="15615" max="15670" width="2.125" style="17" customWidth="1"/>
    <col min="15671" max="15870" width="8.875" style="17"/>
    <col min="15871" max="15926" width="2.125" style="17" customWidth="1"/>
    <col min="15927" max="16126" width="8.875" style="17"/>
    <col min="16127" max="16182" width="2.125" style="17" customWidth="1"/>
    <col min="16183" max="16380" width="8.875" style="17"/>
    <col min="16381" max="16384" width="8.875" style="17" customWidth="1"/>
  </cols>
  <sheetData>
    <row r="1" spans="1:70" ht="27" customHeight="1">
      <c r="A1" s="215" t="s">
        <v>271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7"/>
      <c r="AS1" s="221" t="s">
        <v>0</v>
      </c>
      <c r="AT1" s="222"/>
      <c r="AU1" s="222"/>
      <c r="AV1" s="222"/>
      <c r="AW1" s="222"/>
      <c r="AX1" s="222"/>
      <c r="AY1" s="222"/>
      <c r="AZ1" s="228">
        <f>'（单动-高速压机OP20）'!AZ1:BF1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20"/>
      <c r="AS2" s="197" t="s">
        <v>84</v>
      </c>
      <c r="AT2" s="226"/>
      <c r="AU2" s="226"/>
      <c r="AV2" s="226"/>
      <c r="AW2" s="226"/>
      <c r="AX2" s="226"/>
      <c r="AY2" s="226"/>
      <c r="AZ2" s="231" t="s">
        <v>264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5" t="s">
        <v>1</v>
      </c>
      <c r="B3" s="226"/>
      <c r="C3" s="226"/>
      <c r="D3" s="226"/>
      <c r="E3" s="226"/>
      <c r="F3" s="226"/>
      <c r="G3" s="226"/>
      <c r="H3" s="226"/>
      <c r="I3" s="282" t="str">
        <f>'（单动-高速压机OP20）'!I3:O3</f>
        <v>2SD 809 605</v>
      </c>
      <c r="J3" s="282"/>
      <c r="K3" s="282"/>
      <c r="L3" s="282"/>
      <c r="M3" s="282"/>
      <c r="N3" s="282"/>
      <c r="O3" s="282"/>
      <c r="P3" s="226" t="s">
        <v>2</v>
      </c>
      <c r="Q3" s="226"/>
      <c r="R3" s="226"/>
      <c r="S3" s="226"/>
      <c r="T3" s="226"/>
      <c r="U3" s="226"/>
      <c r="V3" s="226"/>
      <c r="W3" s="282" t="str">
        <f>'（单动-高速压机OP20）'!W3:AC3</f>
        <v>左侧围</v>
      </c>
      <c r="X3" s="282"/>
      <c r="Y3" s="282"/>
      <c r="Z3" s="282"/>
      <c r="AA3" s="282"/>
      <c r="AB3" s="282"/>
      <c r="AC3" s="282"/>
      <c r="AD3" s="226" t="s">
        <v>83</v>
      </c>
      <c r="AE3" s="226"/>
      <c r="AF3" s="226"/>
      <c r="AG3" s="226"/>
      <c r="AH3" s="226"/>
      <c r="AI3" s="226"/>
      <c r="AJ3" s="226"/>
      <c r="AK3" s="226"/>
      <c r="AL3" s="283" t="str">
        <f>'（单动-高速压机OP20）'!AL3:AR3</f>
        <v>Polo NF</v>
      </c>
      <c r="AM3" s="284"/>
      <c r="AN3" s="284"/>
      <c r="AO3" s="284"/>
      <c r="AP3" s="284"/>
      <c r="AQ3" s="284"/>
      <c r="AR3" s="285"/>
      <c r="AS3" s="226" t="s">
        <v>3</v>
      </c>
      <c r="AT3" s="226"/>
      <c r="AU3" s="226"/>
      <c r="AV3" s="226"/>
      <c r="AW3" s="226"/>
      <c r="AX3" s="226"/>
      <c r="AY3" s="226"/>
      <c r="AZ3" s="282" t="s">
        <v>255</v>
      </c>
      <c r="BA3" s="282"/>
      <c r="BB3" s="282"/>
      <c r="BC3" s="282"/>
      <c r="BD3" s="282"/>
      <c r="BE3" s="282"/>
      <c r="BF3" s="286"/>
      <c r="BH3" s="17" t="s">
        <v>245</v>
      </c>
      <c r="BI3" s="94" t="s">
        <v>111</v>
      </c>
      <c r="BJ3" s="17" t="s">
        <v>246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2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2" t="s">
        <v>81</v>
      </c>
      <c r="B5" s="243"/>
      <c r="C5" s="243"/>
      <c r="D5" s="243"/>
      <c r="E5" s="243"/>
      <c r="F5" s="243"/>
      <c r="G5" s="243"/>
      <c r="H5" s="244"/>
      <c r="I5" s="251" t="s">
        <v>280</v>
      </c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7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10" t="str">
        <f>IF($AZ$2=$BH$3,$BJ$3,$BJ$2)</f>
        <v>舒勒</v>
      </c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168"/>
      <c r="BE5" s="168"/>
      <c r="BF5" s="209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2" t="s">
        <v>79</v>
      </c>
      <c r="B6" s="243"/>
      <c r="C6" s="243"/>
      <c r="D6" s="243"/>
      <c r="E6" s="243"/>
      <c r="F6" s="243"/>
      <c r="G6" s="243"/>
      <c r="H6" s="244"/>
      <c r="I6" s="194" t="s">
        <v>268</v>
      </c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6"/>
      <c r="AC6" s="197"/>
      <c r="AD6" s="167" t="s">
        <v>78</v>
      </c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9"/>
      <c r="AS6" s="212">
        <v>12</v>
      </c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168" t="s">
        <v>124</v>
      </c>
      <c r="BE6" s="168"/>
      <c r="BF6" s="209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211</v>
      </c>
    </row>
    <row r="7" spans="1:70" ht="27" customHeight="1">
      <c r="A7" s="242" t="s">
        <v>77</v>
      </c>
      <c r="B7" s="243"/>
      <c r="C7" s="243"/>
      <c r="D7" s="243"/>
      <c r="E7" s="243"/>
      <c r="F7" s="243"/>
      <c r="G7" s="243"/>
      <c r="H7" s="244"/>
      <c r="I7" s="194">
        <v>37.5</v>
      </c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 t="s">
        <v>10</v>
      </c>
      <c r="AC7" s="197"/>
      <c r="AD7" s="167" t="s">
        <v>76</v>
      </c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9"/>
      <c r="AS7" s="212">
        <v>4</v>
      </c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168" t="s">
        <v>123</v>
      </c>
      <c r="BE7" s="168"/>
      <c r="BF7" s="209"/>
      <c r="BH7" s="17" t="s">
        <v>219</v>
      </c>
      <c r="BL7" s="17" t="s">
        <v>249</v>
      </c>
      <c r="BN7" s="95" t="s">
        <v>202</v>
      </c>
    </row>
    <row r="8" spans="1:70" ht="27" customHeight="1">
      <c r="A8" s="192" t="s">
        <v>75</v>
      </c>
      <c r="B8" s="193"/>
      <c r="C8" s="193"/>
      <c r="D8" s="193"/>
      <c r="E8" s="193"/>
      <c r="F8" s="193"/>
      <c r="G8" s="193"/>
      <c r="H8" s="193"/>
      <c r="I8" s="194">
        <v>20</v>
      </c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6" t="s">
        <v>10</v>
      </c>
      <c r="AC8" s="197"/>
      <c r="AD8" s="167" t="s">
        <v>74</v>
      </c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9"/>
      <c r="AS8" s="212">
        <v>8</v>
      </c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168" t="s">
        <v>122</v>
      </c>
      <c r="BE8" s="168"/>
      <c r="BF8" s="209"/>
      <c r="BH8" s="17" t="s">
        <v>220</v>
      </c>
      <c r="BL8" s="17" t="s">
        <v>139</v>
      </c>
      <c r="BN8" s="95" t="s">
        <v>203</v>
      </c>
    </row>
    <row r="9" spans="1:70" ht="27" customHeight="1">
      <c r="A9" s="198" t="s">
        <v>73</v>
      </c>
      <c r="B9" s="199"/>
      <c r="C9" s="199"/>
      <c r="D9" s="199"/>
      <c r="E9" s="199"/>
      <c r="F9" s="199"/>
      <c r="G9" s="199"/>
      <c r="H9" s="200"/>
      <c r="I9" s="201">
        <v>1376.8</v>
      </c>
      <c r="J9" s="202"/>
      <c r="K9" s="202"/>
      <c r="L9" s="202"/>
      <c r="M9" s="202"/>
      <c r="N9" s="202"/>
      <c r="O9" s="202"/>
      <c r="P9" s="202"/>
      <c r="Q9" s="202"/>
      <c r="R9" s="202"/>
      <c r="S9" s="214" t="s">
        <v>257</v>
      </c>
      <c r="T9" s="214"/>
      <c r="U9" s="214"/>
      <c r="V9" s="214"/>
      <c r="W9" s="214"/>
      <c r="X9" s="214"/>
      <c r="Y9" s="214"/>
      <c r="Z9" s="214"/>
      <c r="AA9" s="214"/>
      <c r="AB9" s="196" t="s">
        <v>114</v>
      </c>
      <c r="AC9" s="197"/>
      <c r="AD9" s="167" t="s">
        <v>72</v>
      </c>
      <c r="AE9" s="168"/>
      <c r="AF9" s="168" t="s">
        <v>56</v>
      </c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9"/>
      <c r="AS9" s="210" t="str">
        <f>IF(AND($AZ$2="6-300",$AZ$3="OP40"),"1800","1200")</f>
        <v>1200</v>
      </c>
      <c r="AT9" s="211"/>
      <c r="AU9" s="211"/>
      <c r="AV9" s="211"/>
      <c r="AW9" s="211"/>
      <c r="AX9" s="211"/>
      <c r="AY9" s="211"/>
      <c r="AZ9" s="211"/>
      <c r="BA9" s="211"/>
      <c r="BB9" s="211"/>
      <c r="BC9" s="211"/>
      <c r="BD9" s="168" t="s">
        <v>71</v>
      </c>
      <c r="BE9" s="168"/>
      <c r="BF9" s="209"/>
      <c r="BH9" s="17" t="s">
        <v>221</v>
      </c>
      <c r="BN9" s="95" t="s">
        <v>204</v>
      </c>
    </row>
    <row r="10" spans="1:70" ht="27" customHeight="1">
      <c r="A10" s="205" t="s">
        <v>70</v>
      </c>
      <c r="B10" s="206"/>
      <c r="C10" s="206"/>
      <c r="D10" s="206"/>
      <c r="E10" s="206"/>
      <c r="F10" s="206"/>
      <c r="G10" s="206"/>
      <c r="H10" s="207"/>
      <c r="I10" s="201">
        <v>1400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14"/>
      <c r="T10" s="214"/>
      <c r="U10" s="214"/>
      <c r="V10" s="214"/>
      <c r="W10" s="214"/>
      <c r="X10" s="214"/>
      <c r="Y10" s="214"/>
      <c r="Z10" s="214"/>
      <c r="AA10" s="214"/>
      <c r="AB10" s="196" t="s">
        <v>114</v>
      </c>
      <c r="AC10" s="197"/>
      <c r="AD10" s="167" t="s">
        <v>69</v>
      </c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9"/>
      <c r="AS10" s="167" t="s">
        <v>250</v>
      </c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 t="s">
        <v>215</v>
      </c>
      <c r="BE10" s="168"/>
      <c r="BF10" s="209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266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266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4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4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4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8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8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8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8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8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266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266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93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83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32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267</v>
      </c>
      <c r="T31" s="126" t="s">
        <v>267</v>
      </c>
      <c r="U31" s="126" t="s">
        <v>32</v>
      </c>
      <c r="V31" s="126" t="s">
        <v>32</v>
      </c>
      <c r="W31" s="126" t="s">
        <v>32</v>
      </c>
      <c r="X31" s="126" t="s">
        <v>32</v>
      </c>
      <c r="Y31" s="126" t="s">
        <v>32</v>
      </c>
      <c r="Z31" s="126" t="s">
        <v>267</v>
      </c>
      <c r="AA31" s="126" t="s">
        <v>32</v>
      </c>
      <c r="AB31" s="126" t="s">
        <v>32</v>
      </c>
      <c r="AC31" s="126" t="s">
        <v>32</v>
      </c>
      <c r="AD31" s="126" t="s">
        <v>32</v>
      </c>
      <c r="AE31" s="126" t="s">
        <v>32</v>
      </c>
      <c r="AF31" s="126" t="s">
        <v>32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32</v>
      </c>
      <c r="M32" s="126" t="s">
        <v>267</v>
      </c>
      <c r="N32" s="126" t="s">
        <v>267</v>
      </c>
      <c r="O32" s="126" t="s">
        <v>267</v>
      </c>
      <c r="P32" s="126" t="s">
        <v>267</v>
      </c>
      <c r="Q32" s="126" t="s">
        <v>267</v>
      </c>
      <c r="R32" s="126" t="s">
        <v>267</v>
      </c>
      <c r="S32" s="126" t="s">
        <v>267</v>
      </c>
      <c r="T32" s="126" t="s">
        <v>267</v>
      </c>
      <c r="U32" s="126" t="s">
        <v>267</v>
      </c>
      <c r="V32" s="126" t="s">
        <v>267</v>
      </c>
      <c r="W32" s="126" t="s">
        <v>267</v>
      </c>
      <c r="X32" s="126" t="s">
        <v>267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267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32</v>
      </c>
      <c r="L33" s="126" t="s">
        <v>32</v>
      </c>
      <c r="M33" s="126" t="s">
        <v>267</v>
      </c>
      <c r="N33" s="126" t="s">
        <v>32</v>
      </c>
      <c r="O33" s="126" t="s">
        <v>32</v>
      </c>
      <c r="P33" s="126" t="s">
        <v>32</v>
      </c>
      <c r="Q33" s="126" t="s">
        <v>32</v>
      </c>
      <c r="R33" s="126" t="s">
        <v>32</v>
      </c>
      <c r="S33" s="126" t="s">
        <v>32</v>
      </c>
      <c r="T33" s="126" t="s">
        <v>32</v>
      </c>
      <c r="U33" s="126" t="s">
        <v>32</v>
      </c>
      <c r="V33" s="126" t="s">
        <v>32</v>
      </c>
      <c r="W33" s="126" t="s">
        <v>32</v>
      </c>
      <c r="X33" s="126" t="s">
        <v>267</v>
      </c>
      <c r="Y33" s="126" t="s">
        <v>32</v>
      </c>
      <c r="Z33" s="126" t="s">
        <v>267</v>
      </c>
      <c r="AA33" s="126" t="s">
        <v>32</v>
      </c>
      <c r="AB33" s="126" t="s">
        <v>32</v>
      </c>
      <c r="AC33" s="126" t="s">
        <v>32</v>
      </c>
      <c r="AD33" s="126" t="s">
        <v>267</v>
      </c>
      <c r="AE33" s="126" t="s">
        <v>32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267</v>
      </c>
      <c r="N34" s="126" t="s">
        <v>32</v>
      </c>
      <c r="O34" s="126" t="s">
        <v>32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32</v>
      </c>
      <c r="U34" s="126" t="s">
        <v>32</v>
      </c>
      <c r="V34" s="126" t="s">
        <v>32</v>
      </c>
      <c r="W34" s="126" t="s">
        <v>32</v>
      </c>
      <c r="X34" s="126" t="s">
        <v>32</v>
      </c>
      <c r="Y34" s="126" t="s">
        <v>267</v>
      </c>
      <c r="Z34" s="126" t="s">
        <v>32</v>
      </c>
      <c r="AA34" s="126" t="s">
        <v>32</v>
      </c>
      <c r="AB34" s="126" t="s">
        <v>32</v>
      </c>
      <c r="AC34" s="126" t="s">
        <v>32</v>
      </c>
      <c r="AD34" s="126" t="s">
        <v>267</v>
      </c>
      <c r="AE34" s="126" t="s">
        <v>32</v>
      </c>
      <c r="AF34" s="126" t="s">
        <v>32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32</v>
      </c>
      <c r="K35" s="126" t="s">
        <v>267</v>
      </c>
      <c r="L35" s="126" t="s">
        <v>32</v>
      </c>
      <c r="M35" s="126" t="s">
        <v>267</v>
      </c>
      <c r="N35" s="126" t="s">
        <v>32</v>
      </c>
      <c r="O35" s="126" t="s">
        <v>32</v>
      </c>
      <c r="P35" s="126" t="s">
        <v>32</v>
      </c>
      <c r="Q35" s="126" t="s">
        <v>32</v>
      </c>
      <c r="R35" s="126" t="s">
        <v>32</v>
      </c>
      <c r="S35" s="126" t="s">
        <v>32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32</v>
      </c>
      <c r="Y35" s="126" t="s">
        <v>32</v>
      </c>
      <c r="Z35" s="126" t="s">
        <v>267</v>
      </c>
      <c r="AA35" s="126" t="s">
        <v>267</v>
      </c>
      <c r="AB35" s="126" t="s">
        <v>32</v>
      </c>
      <c r="AC35" s="126" t="s">
        <v>267</v>
      </c>
      <c r="AD35" s="126" t="s">
        <v>32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267</v>
      </c>
      <c r="L36" s="126" t="s">
        <v>267</v>
      </c>
      <c r="M36" s="126" t="s">
        <v>267</v>
      </c>
      <c r="N36" s="126" t="s">
        <v>32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32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32</v>
      </c>
      <c r="AA36" s="126" t="s">
        <v>32</v>
      </c>
      <c r="AB36" s="126" t="s">
        <v>32</v>
      </c>
      <c r="AC36" s="126" t="s">
        <v>267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32</v>
      </c>
      <c r="N37" s="126" t="s">
        <v>32</v>
      </c>
      <c r="O37" s="126" t="s">
        <v>32</v>
      </c>
      <c r="P37" s="126" t="s">
        <v>32</v>
      </c>
      <c r="Q37" s="126" t="s">
        <v>267</v>
      </c>
      <c r="R37" s="126" t="s">
        <v>32</v>
      </c>
      <c r="S37" s="126" t="s">
        <v>32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32</v>
      </c>
      <c r="Z37" s="126" t="s">
        <v>32</v>
      </c>
      <c r="AA37" s="126" t="s">
        <v>267</v>
      </c>
      <c r="AB37" s="126" t="s">
        <v>32</v>
      </c>
      <c r="AC37" s="126" t="s">
        <v>267</v>
      </c>
      <c r="AD37" s="126" t="s">
        <v>32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267</v>
      </c>
      <c r="O38" s="126" t="s">
        <v>267</v>
      </c>
      <c r="P38" s="126" t="s">
        <v>32</v>
      </c>
      <c r="Q38" s="126" t="s">
        <v>32</v>
      </c>
      <c r="R38" s="126" t="s">
        <v>32</v>
      </c>
      <c r="S38" s="126" t="s">
        <v>32</v>
      </c>
      <c r="T38" s="126" t="s">
        <v>32</v>
      </c>
      <c r="U38" s="126" t="s">
        <v>32</v>
      </c>
      <c r="V38" s="126" t="s">
        <v>32</v>
      </c>
      <c r="W38" s="126" t="s">
        <v>32</v>
      </c>
      <c r="X38" s="126" t="s">
        <v>32</v>
      </c>
      <c r="Y38" s="126" t="s">
        <v>32</v>
      </c>
      <c r="Z38" s="126" t="s">
        <v>267</v>
      </c>
      <c r="AA38" s="126" t="s">
        <v>32</v>
      </c>
      <c r="AB38" s="126" t="s">
        <v>267</v>
      </c>
      <c r="AC38" s="126" t="s">
        <v>32</v>
      </c>
      <c r="AD38" s="126" t="s">
        <v>32</v>
      </c>
      <c r="AE38" s="126" t="s">
        <v>32</v>
      </c>
      <c r="AF38" s="126" t="s">
        <v>32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32</v>
      </c>
      <c r="K39" s="126" t="s">
        <v>32</v>
      </c>
      <c r="L39" s="126" t="s">
        <v>32</v>
      </c>
      <c r="M39" s="126" t="s">
        <v>32</v>
      </c>
      <c r="N39" s="126" t="s">
        <v>32</v>
      </c>
      <c r="O39" s="126" t="s">
        <v>32</v>
      </c>
      <c r="P39" s="126" t="s">
        <v>267</v>
      </c>
      <c r="Q39" s="126" t="s">
        <v>32</v>
      </c>
      <c r="R39" s="126" t="s">
        <v>32</v>
      </c>
      <c r="S39" s="126" t="s">
        <v>32</v>
      </c>
      <c r="T39" s="126" t="s">
        <v>32</v>
      </c>
      <c r="U39" s="126" t="s">
        <v>32</v>
      </c>
      <c r="V39" s="126" t="s">
        <v>32</v>
      </c>
      <c r="W39" s="126" t="s">
        <v>32</v>
      </c>
      <c r="X39" s="126" t="s">
        <v>32</v>
      </c>
      <c r="Y39" s="126" t="s">
        <v>32</v>
      </c>
      <c r="Z39" s="126" t="s">
        <v>32</v>
      </c>
      <c r="AA39" s="126" t="s">
        <v>267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267</v>
      </c>
      <c r="S40" s="126" t="s">
        <v>267</v>
      </c>
      <c r="T40" s="126" t="s">
        <v>267</v>
      </c>
      <c r="U40" s="126" t="s">
        <v>267</v>
      </c>
      <c r="V40" s="126" t="s">
        <v>267</v>
      </c>
      <c r="W40" s="126" t="s">
        <v>267</v>
      </c>
      <c r="X40" s="126" t="s">
        <v>267</v>
      </c>
      <c r="Y40" s="126" t="s">
        <v>267</v>
      </c>
      <c r="Z40" s="126" t="s">
        <v>267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267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5">
        <v>49</v>
      </c>
      <c r="BA41" s="276"/>
      <c r="BB41" s="276"/>
      <c r="BC41" s="276"/>
      <c r="BD41" s="276"/>
      <c r="BE41" s="276"/>
      <c r="BF41" s="277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78"/>
      <c r="BA42" s="279"/>
      <c r="BB42" s="279"/>
      <c r="BC42" s="279"/>
      <c r="BD42" s="279"/>
      <c r="BE42" s="279"/>
      <c r="BF42" s="280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8"/>
      <c r="AZ43" s="275">
        <v>1800</v>
      </c>
      <c r="BA43" s="276"/>
      <c r="BB43" s="276"/>
      <c r="BC43" s="276"/>
      <c r="BD43" s="276"/>
      <c r="BE43" s="276"/>
      <c r="BF43" s="277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9" t="str">
        <f>IF(AZ2="7-200","（± 0.2Mpa）"," （± 50KN）")</f>
        <v xml:space="preserve"> （± 50KN）</v>
      </c>
      <c r="AT44" s="190"/>
      <c r="AU44" s="190"/>
      <c r="AV44" s="190"/>
      <c r="AW44" s="190"/>
      <c r="AX44" s="190"/>
      <c r="AY44" s="191"/>
      <c r="AZ44" s="278"/>
      <c r="BA44" s="279"/>
      <c r="BB44" s="279"/>
      <c r="BC44" s="279"/>
      <c r="BD44" s="279"/>
      <c r="BE44" s="279"/>
      <c r="BF44" s="280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23"/>
      <c r="BC45" s="56"/>
      <c r="BD45" s="56"/>
      <c r="BE45" s="56"/>
      <c r="BF45" s="57"/>
    </row>
    <row r="46" spans="1:58" ht="19.149999999999999" customHeight="1">
      <c r="A46" s="58" t="s">
        <v>59</v>
      </c>
      <c r="B46" s="51"/>
      <c r="C46" s="50"/>
      <c r="D46" s="155" t="str">
        <f>'（单动-高速压机OP20）'!D51:N51</f>
        <v>2SD 809 605</v>
      </c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281" t="s">
        <v>134</v>
      </c>
      <c r="P46" s="281"/>
      <c r="Q46" s="281"/>
      <c r="R46" s="281"/>
      <c r="S46" s="281"/>
      <c r="T46" s="281"/>
      <c r="U46" s="281"/>
      <c r="V46" s="59"/>
      <c r="W46" s="127"/>
      <c r="X46" s="59"/>
      <c r="Y46" s="59"/>
      <c r="Z46" s="59"/>
      <c r="AA46" s="59"/>
      <c r="AB46" s="59"/>
      <c r="AC46" s="60"/>
      <c r="AD46" s="113" t="s">
        <v>238</v>
      </c>
      <c r="AE46" s="114"/>
      <c r="AF46" s="114"/>
      <c r="AG46" s="114"/>
      <c r="AH46" s="11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23"/>
      <c r="AS46" s="23"/>
      <c r="AT46" s="22"/>
      <c r="AU46" s="23"/>
      <c r="AV46" s="23"/>
      <c r="AW46" s="51"/>
      <c r="AX46" s="23"/>
      <c r="AY46" s="51"/>
      <c r="AZ46" s="20"/>
      <c r="BA46" s="20"/>
      <c r="BB46" s="23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155" t="str">
        <f>D46</f>
        <v>2SD 809 605</v>
      </c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281" t="s">
        <v>135</v>
      </c>
      <c r="P47" s="281"/>
      <c r="Q47" s="281"/>
      <c r="R47" s="281"/>
      <c r="S47" s="281"/>
      <c r="T47" s="281"/>
      <c r="U47" s="281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23"/>
      <c r="AS47" s="23"/>
      <c r="AT47" s="22"/>
      <c r="AU47" s="23"/>
      <c r="AV47" s="23"/>
      <c r="AW47" s="51"/>
      <c r="AX47" s="23"/>
      <c r="AY47" s="51"/>
      <c r="AZ47" s="20"/>
      <c r="BA47" s="20"/>
      <c r="BB47" s="23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82"/>
      <c r="AE48" s="23"/>
      <c r="AF48" s="23"/>
      <c r="AG48" s="23"/>
      <c r="AH48" s="23"/>
      <c r="AI48" s="23"/>
      <c r="AJ48" s="22"/>
      <c r="AK48" s="23"/>
      <c r="AL48" s="23"/>
      <c r="AM48" s="23"/>
      <c r="AN48" s="23"/>
      <c r="AO48" s="23"/>
      <c r="AP48" s="23"/>
      <c r="AQ48" s="23"/>
      <c r="AR48" s="23"/>
      <c r="AS48" s="23"/>
      <c r="AT48" s="22"/>
      <c r="AU48" s="23"/>
      <c r="AV48" s="23"/>
      <c r="AW48" s="51"/>
      <c r="AX48" s="23"/>
      <c r="AY48" s="51"/>
      <c r="AZ48" s="20"/>
      <c r="BA48" s="20"/>
      <c r="BB48" s="23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235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2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70" t="s">
        <v>27</v>
      </c>
      <c r="AE53" s="170"/>
      <c r="AF53" s="170"/>
      <c r="AG53" s="170"/>
      <c r="AH53" s="170"/>
      <c r="AI53" s="170"/>
      <c r="AJ53" s="170"/>
      <c r="AK53" s="170"/>
      <c r="AL53" s="287" t="s">
        <v>258</v>
      </c>
      <c r="AM53" s="287"/>
      <c r="AN53" s="287"/>
      <c r="AO53" s="287"/>
      <c r="AP53" s="287"/>
      <c r="AQ53" s="287"/>
      <c r="AR53" s="287"/>
      <c r="AS53" s="170" t="s">
        <v>28</v>
      </c>
      <c r="AT53" s="170"/>
      <c r="AU53" s="170"/>
      <c r="AV53" s="170"/>
      <c r="AW53" s="170"/>
      <c r="AX53" s="170"/>
      <c r="AY53" s="170"/>
      <c r="AZ53" s="288" t="s">
        <v>259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70"/>
      <c r="AE54" s="170"/>
      <c r="AF54" s="170"/>
      <c r="AG54" s="170"/>
      <c r="AH54" s="170"/>
      <c r="AI54" s="170"/>
      <c r="AJ54" s="170"/>
      <c r="AK54" s="170"/>
      <c r="AL54" s="287"/>
      <c r="AM54" s="287"/>
      <c r="AN54" s="287"/>
      <c r="AO54" s="287"/>
      <c r="AP54" s="287"/>
      <c r="AQ54" s="287"/>
      <c r="AR54" s="287"/>
      <c r="AS54" s="170"/>
      <c r="AT54" s="170"/>
      <c r="AU54" s="170"/>
      <c r="AV54" s="170"/>
      <c r="AW54" s="170"/>
      <c r="AX54" s="170"/>
      <c r="AY54" s="170"/>
      <c r="AZ54" s="278"/>
      <c r="BA54" s="279"/>
      <c r="BB54" s="279"/>
      <c r="BC54" s="279"/>
      <c r="BD54" s="279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5"/>
      <c r="F55" s="235"/>
      <c r="G55" s="235"/>
      <c r="H55" s="23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5"/>
      <c r="Y55" s="235"/>
      <c r="Z55" s="235"/>
      <c r="AA55" s="235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5"/>
      <c r="AS55" s="235"/>
      <c r="AT55" s="235"/>
      <c r="AU55" s="235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272</v>
      </c>
    </row>
  </sheetData>
  <sheetProtection selectLockedCells="1"/>
  <protectedRanges>
    <protectedRange sqref="AZ1:BF1 I3 W3 AL3 I6:AA8 I9:I10 AS5:BC10 AZ42:AZ43 AD45:BF45 AX12 BA29 AD47:BF52 AK46:BF46 AZ3:BF3 H12:AH26 H30:AH43" name="区域1"/>
    <protectedRange sqref="AL53 AZ53" name="区域1_1"/>
    <protectedRange sqref="AZ2:BF2" name="区域1_2"/>
    <protectedRange sqref="I5" name="区域3"/>
  </protectedRanges>
  <mergeCells count="106">
    <mergeCell ref="E55:H55"/>
    <mergeCell ref="X55:AA55"/>
    <mergeCell ref="AR55:AU55"/>
    <mergeCell ref="AD53:AK54"/>
    <mergeCell ref="AL53:AR54"/>
    <mergeCell ref="AS53:AY54"/>
    <mergeCell ref="AZ53:BD54"/>
    <mergeCell ref="BE53:BF54"/>
    <mergeCell ref="B13:C24"/>
    <mergeCell ref="B31:C41"/>
    <mergeCell ref="AS41:AY42"/>
    <mergeCell ref="AM16:AM18"/>
    <mergeCell ref="AM19:AM23"/>
    <mergeCell ref="G27:H27"/>
    <mergeCell ref="I27:J27"/>
    <mergeCell ref="K27:L27"/>
    <mergeCell ref="M27:N27"/>
    <mergeCell ref="O27:P27"/>
    <mergeCell ref="AH27:AI27"/>
    <mergeCell ref="S27:T27"/>
    <mergeCell ref="V27:W27"/>
    <mergeCell ref="Q27:R27"/>
    <mergeCell ref="AF27:AG27"/>
    <mergeCell ref="X27:Y27"/>
    <mergeCell ref="O46:U46"/>
    <mergeCell ref="O47:U47"/>
    <mergeCell ref="D46:N46"/>
    <mergeCell ref="A1:AR2"/>
    <mergeCell ref="AS1:AY1"/>
    <mergeCell ref="AZ1:BF1"/>
    <mergeCell ref="AS2:AY2"/>
    <mergeCell ref="AZ2:BF2"/>
    <mergeCell ref="I7:AA7"/>
    <mergeCell ref="AB7:AC7"/>
    <mergeCell ref="AD7:AR7"/>
    <mergeCell ref="I3:O3"/>
    <mergeCell ref="P3:V3"/>
    <mergeCell ref="W3:AC3"/>
    <mergeCell ref="AD3:AK3"/>
    <mergeCell ref="A4:BF4"/>
    <mergeCell ref="A5:H5"/>
    <mergeCell ref="AL3:AR3"/>
    <mergeCell ref="AS3:AY3"/>
    <mergeCell ref="AZ3:BF3"/>
    <mergeCell ref="A3:H3"/>
    <mergeCell ref="AS6:BC6"/>
    <mergeCell ref="AS7:BC7"/>
    <mergeCell ref="I5:AA5"/>
    <mergeCell ref="AB5:AC5"/>
    <mergeCell ref="I6:AA6"/>
    <mergeCell ref="AB6:AC6"/>
    <mergeCell ref="S9:AA9"/>
    <mergeCell ref="AB9:AC9"/>
    <mergeCell ref="I10:R10"/>
    <mergeCell ref="S10:AA10"/>
    <mergeCell ref="AB10:AC10"/>
    <mergeCell ref="AS9:BC9"/>
    <mergeCell ref="AS10:BC10"/>
    <mergeCell ref="AD5:AR5"/>
    <mergeCell ref="V11:W11"/>
    <mergeCell ref="AF11:AG11"/>
    <mergeCell ref="AD9:AR9"/>
    <mergeCell ref="AH11:AI11"/>
    <mergeCell ref="O11:P11"/>
    <mergeCell ref="Q11:R11"/>
    <mergeCell ref="K11:L11"/>
    <mergeCell ref="M11:N11"/>
    <mergeCell ref="X11:Y11"/>
    <mergeCell ref="Z11:AA11"/>
    <mergeCell ref="AB11:AC11"/>
    <mergeCell ref="AD11:AE11"/>
    <mergeCell ref="AD10:AR10"/>
    <mergeCell ref="BD5:BF5"/>
    <mergeCell ref="BD6:BF6"/>
    <mergeCell ref="BD7:BF7"/>
    <mergeCell ref="AS5:BC5"/>
    <mergeCell ref="BD9:BF9"/>
    <mergeCell ref="BD10:BF10"/>
    <mergeCell ref="BD8:BF8"/>
    <mergeCell ref="AZ43:BF44"/>
    <mergeCell ref="AZ41:BF42"/>
    <mergeCell ref="AS8:BC8"/>
    <mergeCell ref="A50:C50"/>
    <mergeCell ref="A51:C51"/>
    <mergeCell ref="D50:AB50"/>
    <mergeCell ref="D51:AB51"/>
    <mergeCell ref="AD47:AQ47"/>
    <mergeCell ref="AD6:AR6"/>
    <mergeCell ref="A7:H7"/>
    <mergeCell ref="AS43:AY43"/>
    <mergeCell ref="AS44:AY44"/>
    <mergeCell ref="A6:H6"/>
    <mergeCell ref="A10:H10"/>
    <mergeCell ref="A9:H9"/>
    <mergeCell ref="Z27:AA27"/>
    <mergeCell ref="AB27:AC27"/>
    <mergeCell ref="AD27:AE27"/>
    <mergeCell ref="A8:H8"/>
    <mergeCell ref="I8:AA8"/>
    <mergeCell ref="AB8:AC8"/>
    <mergeCell ref="AD8:AR8"/>
    <mergeCell ref="S11:T11"/>
    <mergeCell ref="G11:H11"/>
    <mergeCell ref="I11:J11"/>
    <mergeCell ref="D47:N47"/>
    <mergeCell ref="I9:R9"/>
  </mergeCells>
  <phoneticPr fontId="2" type="noConversion"/>
  <conditionalFormatting sqref="N18">
    <cfRule type="expression" dxfId="585" priority="191">
      <formula>AND($AZ$2&lt;&gt;"4-100")</formula>
    </cfRule>
  </conditionalFormatting>
  <conditionalFormatting sqref="O18:R18">
    <cfRule type="expression" dxfId="584" priority="190">
      <formula>AND($AZ$2&lt;&gt;"4-100")</formula>
    </cfRule>
  </conditionalFormatting>
  <conditionalFormatting sqref="S18">
    <cfRule type="expression" dxfId="583" priority="189">
      <formula>AND($AZ$2&lt;&gt;"4-100")</formula>
    </cfRule>
  </conditionalFormatting>
  <conditionalFormatting sqref="N19">
    <cfRule type="expression" dxfId="582" priority="188">
      <formula>AND($AZ$2&lt;&gt;"4-100")</formula>
    </cfRule>
  </conditionalFormatting>
  <conditionalFormatting sqref="N20">
    <cfRule type="expression" dxfId="581" priority="187">
      <formula>AND($AZ$2&lt;&gt;"4-100")</formula>
    </cfRule>
  </conditionalFormatting>
  <conditionalFormatting sqref="O20:R20">
    <cfRule type="expression" dxfId="580" priority="186">
      <formula>AND($AZ$2&lt;&gt;"4-100")</formula>
    </cfRule>
  </conditionalFormatting>
  <conditionalFormatting sqref="S20">
    <cfRule type="expression" dxfId="579" priority="185">
      <formula>AND($AZ$2&lt;&gt;"4-100")</formula>
    </cfRule>
  </conditionalFormatting>
  <conditionalFormatting sqref="S19">
    <cfRule type="expression" dxfId="578" priority="184">
      <formula>AND($AZ$2&lt;&gt;"4-100")</formula>
    </cfRule>
  </conditionalFormatting>
  <conditionalFormatting sqref="W18">
    <cfRule type="expression" dxfId="577" priority="183">
      <formula>AND($AZ$2&lt;&gt;"4-100")</formula>
    </cfRule>
  </conditionalFormatting>
  <conditionalFormatting sqref="X18:AA18">
    <cfRule type="expression" dxfId="576" priority="182">
      <formula>AND($AZ$2&lt;&gt;"4-100")</formula>
    </cfRule>
  </conditionalFormatting>
  <conditionalFormatting sqref="AB18">
    <cfRule type="expression" dxfId="575" priority="181">
      <formula>AND($AZ$2&lt;&gt;"4-100")</formula>
    </cfRule>
  </conditionalFormatting>
  <conditionalFormatting sqref="W19">
    <cfRule type="expression" dxfId="574" priority="180">
      <formula>AND($AZ$2&lt;&gt;"4-100")</formula>
    </cfRule>
  </conditionalFormatting>
  <conditionalFormatting sqref="W20">
    <cfRule type="expression" dxfId="573" priority="179">
      <formula>AND($AZ$2&lt;&gt;"4-100")</formula>
    </cfRule>
  </conditionalFormatting>
  <conditionalFormatting sqref="X20:AA20">
    <cfRule type="expression" dxfId="572" priority="178">
      <formula>AND($AZ$2&lt;&gt;"4-100")</formula>
    </cfRule>
  </conditionalFormatting>
  <conditionalFormatting sqref="AB20">
    <cfRule type="expression" dxfId="571" priority="177">
      <formula>AND($AZ$2&lt;&gt;"4-100")</formula>
    </cfRule>
  </conditionalFormatting>
  <conditionalFormatting sqref="AB19">
    <cfRule type="expression" dxfId="570" priority="176">
      <formula>AND($AZ$2&lt;&gt;"4-100")</formula>
    </cfRule>
  </conditionalFormatting>
  <conditionalFormatting sqref="H30:AH43">
    <cfRule type="expression" dxfId="569" priority="173">
      <formula>AND(H30=$BI$4)</formula>
    </cfRule>
  </conditionalFormatting>
  <conditionalFormatting sqref="J13">
    <cfRule type="expression" dxfId="568" priority="96">
      <formula>J13=""</formula>
    </cfRule>
    <cfRule type="expression" dxfId="567" priority="172">
      <formula>AND(J13=$BI$2)</formula>
    </cfRule>
  </conditionalFormatting>
  <conditionalFormatting sqref="K13">
    <cfRule type="expression" dxfId="566" priority="55">
      <formula>K13=""</formula>
    </cfRule>
    <cfRule type="expression" dxfId="565" priority="168">
      <formula>AND(K13=$BI$2)</formula>
    </cfRule>
  </conditionalFormatting>
  <conditionalFormatting sqref="I6:AA8 I3:O3 W3:AC3 AS6:BC8 I9:R10">
    <cfRule type="containsBlanks" dxfId="564" priority="194">
      <formula>LEN(TRIM(I3))=0</formula>
    </cfRule>
  </conditionalFormatting>
  <conditionalFormatting sqref="AL3:AR3">
    <cfRule type="containsBlanks" dxfId="563" priority="193">
      <formula>LEN(TRIM(AL3))=0</formula>
    </cfRule>
  </conditionalFormatting>
  <conditionalFormatting sqref="AZ1:BF1">
    <cfRule type="containsBlanks" dxfId="562" priority="192">
      <formula>LEN(TRIM(AZ1))=0</formula>
    </cfRule>
  </conditionalFormatting>
  <conditionalFormatting sqref="AZ3:BF3">
    <cfRule type="containsBlanks" dxfId="561" priority="196">
      <formula>LEN(TRIM(AZ3))=0</formula>
    </cfRule>
  </conditionalFormatting>
  <conditionalFormatting sqref="AZ41">
    <cfRule type="containsBlanks" dxfId="560" priority="197">
      <formula>LEN(TRIM(AZ41))=0</formula>
    </cfRule>
  </conditionalFormatting>
  <conditionalFormatting sqref="AZ43">
    <cfRule type="containsBlanks" dxfId="559" priority="198">
      <formula>LEN(TRIM(AZ43))=0</formula>
    </cfRule>
  </conditionalFormatting>
  <conditionalFormatting sqref="D46:N46">
    <cfRule type="containsBlanks" dxfId="558" priority="199">
      <formula>LEN(TRIM(D46))=0</formula>
    </cfRule>
  </conditionalFormatting>
  <conditionalFormatting sqref="O46:U46">
    <cfRule type="containsBlanks" dxfId="557" priority="201">
      <formula>LEN(TRIM(O46))=0</formula>
    </cfRule>
  </conditionalFormatting>
  <conditionalFormatting sqref="O47:U47">
    <cfRule type="containsBlanks" dxfId="556" priority="202">
      <formula>LEN(TRIM(O47))=0</formula>
    </cfRule>
  </conditionalFormatting>
  <conditionalFormatting sqref="D47:N47">
    <cfRule type="containsBlanks" dxfId="555" priority="200">
      <formula>LEN(TRIM(D47))=0</formula>
    </cfRule>
  </conditionalFormatting>
  <conditionalFormatting sqref="D51:AB51">
    <cfRule type="containsBlanks" dxfId="554" priority="203">
      <formula>LEN(TRIM(D51))=0</formula>
    </cfRule>
  </conditionalFormatting>
  <conditionalFormatting sqref="AI46">
    <cfRule type="containsBlanks" dxfId="553" priority="206">
      <formula>LEN(TRIM(AI46))=0</formula>
    </cfRule>
  </conditionalFormatting>
  <conditionalFormatting sqref="H30:AH42">
    <cfRule type="expression" dxfId="552" priority="97">
      <formula>H30=""</formula>
    </cfRule>
  </conditionalFormatting>
  <conditionalFormatting sqref="J14">
    <cfRule type="expression" dxfId="551" priority="94">
      <formula>J14=""</formula>
    </cfRule>
    <cfRule type="expression" dxfId="550" priority="95">
      <formula>AND(J14=$BI$2)</formula>
    </cfRule>
  </conditionalFormatting>
  <conditionalFormatting sqref="J24">
    <cfRule type="expression" dxfId="549" priority="92">
      <formula>J24=""</formula>
    </cfRule>
    <cfRule type="expression" dxfId="548" priority="93">
      <formula>AND(J24=$BI$2)</formula>
    </cfRule>
  </conditionalFormatting>
  <conditionalFormatting sqref="J25">
    <cfRule type="expression" dxfId="547" priority="90">
      <formula>J25=""</formula>
    </cfRule>
    <cfRule type="expression" dxfId="546" priority="91">
      <formula>AND(J25=$BI$2)</formula>
    </cfRule>
  </conditionalFormatting>
  <conditionalFormatting sqref="L13">
    <cfRule type="expression" dxfId="545" priority="88">
      <formula>L13=""</formula>
    </cfRule>
    <cfRule type="expression" dxfId="544" priority="89">
      <formula>AND(L13=$BI$2)</formula>
    </cfRule>
  </conditionalFormatting>
  <conditionalFormatting sqref="P13">
    <cfRule type="expression" dxfId="543" priority="84">
      <formula>P13=""</formula>
    </cfRule>
    <cfRule type="expression" dxfId="542" priority="85">
      <formula>AND(P13=$BI$2)</formula>
    </cfRule>
  </conditionalFormatting>
  <conditionalFormatting sqref="P14">
    <cfRule type="expression" dxfId="541" priority="82">
      <formula>P14=""</formula>
    </cfRule>
    <cfRule type="expression" dxfId="540" priority="83">
      <formula>AND(P14=$BI$2)</formula>
    </cfRule>
  </conditionalFormatting>
  <conditionalFormatting sqref="P24">
    <cfRule type="expression" dxfId="539" priority="80">
      <formula>P24=""</formula>
    </cfRule>
    <cfRule type="expression" dxfId="538" priority="81">
      <formula>AND(P24=$BI$2)</formula>
    </cfRule>
  </conditionalFormatting>
  <conditionalFormatting sqref="P25">
    <cfRule type="expression" dxfId="537" priority="78">
      <formula>P25=""</formula>
    </cfRule>
    <cfRule type="expression" dxfId="536" priority="79">
      <formula>AND(P25=$BI$2)</formula>
    </cfRule>
  </conditionalFormatting>
  <conditionalFormatting sqref="L25">
    <cfRule type="expression" dxfId="535" priority="76">
      <formula>L25=""</formula>
    </cfRule>
    <cfRule type="expression" dxfId="534" priority="77">
      <formula>AND(L25=$BI$2)</formula>
    </cfRule>
  </conditionalFormatting>
  <conditionalFormatting sqref="T14">
    <cfRule type="expression" dxfId="533" priority="74">
      <formula>T14=""</formula>
    </cfRule>
    <cfRule type="expression" dxfId="532" priority="75">
      <formula>AND(T14=$BI$2)</formula>
    </cfRule>
  </conditionalFormatting>
  <conditionalFormatting sqref="T24">
    <cfRule type="expression" dxfId="531" priority="72">
      <formula>T24=""</formula>
    </cfRule>
    <cfRule type="expression" dxfId="530" priority="73">
      <formula>AND(T24=$BI$2)</formula>
    </cfRule>
  </conditionalFormatting>
  <conditionalFormatting sqref="AA13">
    <cfRule type="expression" dxfId="529" priority="70">
      <formula>AA13=""</formula>
    </cfRule>
    <cfRule type="expression" dxfId="528" priority="71">
      <formula>AND(AA13=$BI$2)</formula>
    </cfRule>
  </conditionalFormatting>
  <conditionalFormatting sqref="AC12">
    <cfRule type="expression" dxfId="527" priority="12">
      <formula>$AZ$2&lt;&gt;"6-300"</formula>
    </cfRule>
    <cfRule type="expression" dxfId="526" priority="68">
      <formula>AC12=""</formula>
    </cfRule>
    <cfRule type="expression" dxfId="525" priority="69">
      <formula>AND(AC12=$BI$2)</formula>
    </cfRule>
  </conditionalFormatting>
  <conditionalFormatting sqref="AC13">
    <cfRule type="expression" dxfId="524" priority="66">
      <formula>AC13=""</formula>
    </cfRule>
    <cfRule type="expression" dxfId="523" priority="67">
      <formula>AND(AC13=$BI$2)</formula>
    </cfRule>
  </conditionalFormatting>
  <conditionalFormatting sqref="AE13">
    <cfRule type="expression" dxfId="522" priority="64">
      <formula>AE13=""</formula>
    </cfRule>
    <cfRule type="expression" dxfId="521" priority="65">
      <formula>AND(AE13=$BI$2)</formula>
    </cfRule>
  </conditionalFormatting>
  <conditionalFormatting sqref="AC25">
    <cfRule type="expression" dxfId="520" priority="62">
      <formula>AC25=""</formula>
    </cfRule>
    <cfRule type="expression" dxfId="519" priority="63">
      <formula>AND(AC25=$BI$2)</formula>
    </cfRule>
  </conditionalFormatting>
  <conditionalFormatting sqref="AE25">
    <cfRule type="expression" dxfId="518" priority="58">
      <formula>AE25=""</formula>
    </cfRule>
    <cfRule type="expression" dxfId="517" priority="59">
      <formula>AND(AE25=$BI$2)</formula>
    </cfRule>
  </conditionalFormatting>
  <conditionalFormatting sqref="AA25">
    <cfRule type="expression" dxfId="516" priority="56">
      <formula>AA25=""</formula>
    </cfRule>
    <cfRule type="expression" dxfId="515" priority="57">
      <formula>AND(AA25=$BI$2)</formula>
    </cfRule>
  </conditionalFormatting>
  <conditionalFormatting sqref="K25">
    <cfRule type="expression" dxfId="514" priority="53">
      <formula>K25=""</formula>
    </cfRule>
    <cfRule type="expression" dxfId="513" priority="54">
      <formula>AND(K25=$BI$2)</formula>
    </cfRule>
  </conditionalFormatting>
  <conditionalFormatting sqref="M12">
    <cfRule type="expression" dxfId="512" priority="16">
      <formula>$AZ$2&lt;&gt;"6-300"</formula>
    </cfRule>
    <cfRule type="expression" dxfId="511" priority="51">
      <formula>M12=""</formula>
    </cfRule>
    <cfRule type="expression" dxfId="510" priority="52">
      <formula>AND(M12=$BI$2)</formula>
    </cfRule>
  </conditionalFormatting>
  <conditionalFormatting sqref="M13">
    <cfRule type="expression" dxfId="509" priority="49">
      <formula>M13=""</formula>
    </cfRule>
    <cfRule type="expression" dxfId="508" priority="50">
      <formula>AND(M13=$BI$2)</formula>
    </cfRule>
  </conditionalFormatting>
  <conditionalFormatting sqref="M25">
    <cfRule type="expression" dxfId="507" priority="47">
      <formula>M25=""</formula>
    </cfRule>
    <cfRule type="expression" dxfId="506" priority="48">
      <formula>AND(M25=$BI$2)</formula>
    </cfRule>
  </conditionalFormatting>
  <conditionalFormatting sqref="O13">
    <cfRule type="expression" dxfId="505" priority="43">
      <formula>O13=""</formula>
    </cfRule>
    <cfRule type="expression" dxfId="504" priority="44">
      <formula>AND(O13=$BI$2)</formula>
    </cfRule>
  </conditionalFormatting>
  <conditionalFormatting sqref="O25">
    <cfRule type="expression" dxfId="503" priority="41">
      <formula>O25=""</formula>
    </cfRule>
    <cfRule type="expression" dxfId="502" priority="42">
      <formula>AND(O25=$BI$2)</formula>
    </cfRule>
  </conditionalFormatting>
  <conditionalFormatting sqref="V14">
    <cfRule type="expression" dxfId="501" priority="39">
      <formula>V14=""</formula>
    </cfRule>
    <cfRule type="expression" dxfId="500" priority="40">
      <formula>AND(V14=$BI$2)</formula>
    </cfRule>
  </conditionalFormatting>
  <conditionalFormatting sqref="V24">
    <cfRule type="expression" dxfId="499" priority="37">
      <formula>V24=""</formula>
    </cfRule>
    <cfRule type="expression" dxfId="498" priority="38">
      <formula>AND(V24=$BI$2)</formula>
    </cfRule>
  </conditionalFormatting>
  <conditionalFormatting sqref="Z13">
    <cfRule type="expression" dxfId="497" priority="35">
      <formula>Z13=""</formula>
    </cfRule>
    <cfRule type="expression" dxfId="496" priority="36">
      <formula>AND(Z13=$BI$2)</formula>
    </cfRule>
  </conditionalFormatting>
  <conditionalFormatting sqref="Z14">
    <cfRule type="expression" dxfId="495" priority="33">
      <formula>Z14=""</formula>
    </cfRule>
    <cfRule type="expression" dxfId="494" priority="34">
      <formula>AND(Z14=$BI$2)</formula>
    </cfRule>
  </conditionalFormatting>
  <conditionalFormatting sqref="Z24">
    <cfRule type="expression" dxfId="493" priority="31">
      <formula>Z24=""</formula>
    </cfRule>
    <cfRule type="expression" dxfId="492" priority="32">
      <formula>AND(Z24=$BI$2)</formula>
    </cfRule>
  </conditionalFormatting>
  <conditionalFormatting sqref="Z25">
    <cfRule type="expression" dxfId="491" priority="29">
      <formula>Z25=""</formula>
    </cfRule>
    <cfRule type="expression" dxfId="490" priority="30">
      <formula>AND(Z25=$BI$2)</formula>
    </cfRule>
  </conditionalFormatting>
  <conditionalFormatting sqref="AD13">
    <cfRule type="expression" dxfId="489" priority="27">
      <formula>AD13=""</formula>
    </cfRule>
    <cfRule type="expression" dxfId="488" priority="28">
      <formula>AND(AD13=$BI$2)</formula>
    </cfRule>
  </conditionalFormatting>
  <conditionalFormatting sqref="AF13">
    <cfRule type="expression" dxfId="487" priority="23">
      <formula>AF13=""</formula>
    </cfRule>
    <cfRule type="expression" dxfId="486" priority="24">
      <formula>AND(AF13=$BI$2)</formula>
    </cfRule>
  </conditionalFormatting>
  <conditionalFormatting sqref="AF14">
    <cfRule type="expression" dxfId="485" priority="21">
      <formula>AF14=""</formula>
    </cfRule>
    <cfRule type="expression" dxfId="484" priority="22">
      <formula>AND(AF14=$BI$2)</formula>
    </cfRule>
  </conditionalFormatting>
  <conditionalFormatting sqref="AF24">
    <cfRule type="expression" dxfId="483" priority="19">
      <formula>AF24=""</formula>
    </cfRule>
    <cfRule type="expression" dxfId="482" priority="20">
      <formula>AND(AF24=$BI$2)</formula>
    </cfRule>
  </conditionalFormatting>
  <conditionalFormatting sqref="AF25">
    <cfRule type="expression" dxfId="481" priority="17">
      <formula>AF25=""</formula>
    </cfRule>
    <cfRule type="expression" dxfId="480" priority="18">
      <formula>AND(AF25=$BI$2)</formula>
    </cfRule>
  </conditionalFormatting>
  <conditionalFormatting sqref="M26">
    <cfRule type="expression" dxfId="479" priority="13">
      <formula>$AZ$2&lt;&gt;"6-300"</formula>
    </cfRule>
    <cfRule type="expression" dxfId="478" priority="14">
      <formula>M26=""</formula>
    </cfRule>
    <cfRule type="expression" dxfId="477" priority="15">
      <formula>AND(M26=$BI$2)</formula>
    </cfRule>
  </conditionalFormatting>
  <conditionalFormatting sqref="AC26">
    <cfRule type="expression" dxfId="476" priority="6">
      <formula>$AZ$2&lt;&gt;"6-300"</formula>
    </cfRule>
    <cfRule type="expression" dxfId="475" priority="7">
      <formula>AC26=""</formula>
    </cfRule>
    <cfRule type="expression" dxfId="474" priority="8">
      <formula>AND(AC26=$BI$2)</formula>
    </cfRule>
  </conditionalFormatting>
  <conditionalFormatting sqref="AL53:AR54">
    <cfRule type="containsBlanks" dxfId="473" priority="4">
      <formula>LEN(TRIM(AL53))=0</formula>
    </cfRule>
  </conditionalFormatting>
  <conditionalFormatting sqref="AZ53:BD54">
    <cfRule type="containsBlanks" dxfId="472" priority="5">
      <formula>LEN(TRIM(AZ53))=0</formula>
    </cfRule>
  </conditionalFormatting>
  <conditionalFormatting sqref="AZ2:BF2">
    <cfRule type="containsBlanks" dxfId="471" priority="3">
      <formula>LEN(TRIM(AZ2))=0</formula>
    </cfRule>
  </conditionalFormatting>
  <conditionalFormatting sqref="AD25">
    <cfRule type="expression" dxfId="470" priority="1">
      <formula>AD25=""</formula>
    </cfRule>
    <cfRule type="expression" dxfId="469" priority="2">
      <formula>AND(AD25=$BI$2)</formula>
    </cfRule>
  </conditionalFormatting>
  <dataValidations count="9">
    <dataValidation type="list" allowBlank="1" showInputMessage="1" showErrorMessage="1" sqref="AZ2:BF2">
      <formula1>$BH$2:$BH$9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M25:M26 J13:J14 J24:J25 K13:L13 O13:P13 P14 T14 V14 Z13:Z14 AA13 AC13:AF13 AF24:AF25 AF14 AA25 Z24:Z25 V24 T24 P24 O25:P25 K25:L25 M12:M13 AC12 AC26 AC25:AE25">
      <formula1>$BI$2:$BI$3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H30:AH43">
      <formula1>$BI$3:$BI$4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16" zoomScale="85" zoomScaleNormal="100" zoomScaleSheetLayoutView="85" workbookViewId="0">
      <selection activeCell="AS8" sqref="AS8:BC8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5" t="s">
        <v>271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7"/>
      <c r="AS1" s="221" t="s">
        <v>0</v>
      </c>
      <c r="AT1" s="222"/>
      <c r="AU1" s="222"/>
      <c r="AV1" s="222"/>
      <c r="AW1" s="222"/>
      <c r="AX1" s="222"/>
      <c r="AY1" s="222"/>
      <c r="AZ1" s="228">
        <f>'单动-高速压机OP30'!AZ1:BF1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20"/>
      <c r="AS2" s="197" t="s">
        <v>84</v>
      </c>
      <c r="AT2" s="226"/>
      <c r="AU2" s="226"/>
      <c r="AV2" s="226"/>
      <c r="AW2" s="226"/>
      <c r="AX2" s="226"/>
      <c r="AY2" s="226"/>
      <c r="AZ2" s="231" t="s">
        <v>264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5" t="s">
        <v>1</v>
      </c>
      <c r="B3" s="226"/>
      <c r="C3" s="226"/>
      <c r="D3" s="226"/>
      <c r="E3" s="226"/>
      <c r="F3" s="226"/>
      <c r="G3" s="226"/>
      <c r="H3" s="226"/>
      <c r="I3" s="282" t="str">
        <f>'单动-高速压机OP30'!I3:O3</f>
        <v>2SD 809 605</v>
      </c>
      <c r="J3" s="282"/>
      <c r="K3" s="282"/>
      <c r="L3" s="282"/>
      <c r="M3" s="282"/>
      <c r="N3" s="282"/>
      <c r="O3" s="282"/>
      <c r="P3" s="226" t="s">
        <v>2</v>
      </c>
      <c r="Q3" s="226"/>
      <c r="R3" s="226"/>
      <c r="S3" s="226"/>
      <c r="T3" s="226"/>
      <c r="U3" s="226"/>
      <c r="V3" s="226"/>
      <c r="W3" s="282" t="str">
        <f>'单动-高速压机OP30'!W3:AC3</f>
        <v>左侧围</v>
      </c>
      <c r="X3" s="282"/>
      <c r="Y3" s="282"/>
      <c r="Z3" s="282"/>
      <c r="AA3" s="282"/>
      <c r="AB3" s="282"/>
      <c r="AC3" s="282"/>
      <c r="AD3" s="226" t="s">
        <v>83</v>
      </c>
      <c r="AE3" s="226"/>
      <c r="AF3" s="226"/>
      <c r="AG3" s="226"/>
      <c r="AH3" s="226"/>
      <c r="AI3" s="226"/>
      <c r="AJ3" s="226"/>
      <c r="AK3" s="226"/>
      <c r="AL3" s="283" t="str">
        <f>'单动-高速压机OP30'!AL3:AR3</f>
        <v>Polo NF</v>
      </c>
      <c r="AM3" s="284"/>
      <c r="AN3" s="284"/>
      <c r="AO3" s="284"/>
      <c r="AP3" s="284"/>
      <c r="AQ3" s="284"/>
      <c r="AR3" s="285"/>
      <c r="AS3" s="226" t="s">
        <v>3</v>
      </c>
      <c r="AT3" s="226"/>
      <c r="AU3" s="226"/>
      <c r="AV3" s="226"/>
      <c r="AW3" s="226"/>
      <c r="AX3" s="226"/>
      <c r="AY3" s="226"/>
      <c r="AZ3" s="282" t="s">
        <v>251</v>
      </c>
      <c r="BA3" s="282"/>
      <c r="BB3" s="282"/>
      <c r="BC3" s="282"/>
      <c r="BD3" s="282"/>
      <c r="BE3" s="282"/>
      <c r="BF3" s="286"/>
      <c r="BH3" s="17" t="s">
        <v>245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2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2" t="s">
        <v>81</v>
      </c>
      <c r="B5" s="243"/>
      <c r="C5" s="243"/>
      <c r="D5" s="243"/>
      <c r="E5" s="243"/>
      <c r="F5" s="243"/>
      <c r="G5" s="243"/>
      <c r="H5" s="244"/>
      <c r="I5" s="194" t="s">
        <v>282</v>
      </c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6"/>
      <c r="AC5" s="197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10" t="str">
        <f>IF($AZ$2=$BH$3,$BJ$3,$BJ$2)</f>
        <v>舒勒</v>
      </c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168"/>
      <c r="BE5" s="168"/>
      <c r="BF5" s="209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2" t="s">
        <v>7</v>
      </c>
      <c r="B6" s="243"/>
      <c r="C6" s="243"/>
      <c r="D6" s="243"/>
      <c r="E6" s="243"/>
      <c r="F6" s="243"/>
      <c r="G6" s="243"/>
      <c r="H6" s="244"/>
      <c r="I6" s="194" t="s">
        <v>268</v>
      </c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6"/>
      <c r="AC6" s="197"/>
      <c r="AD6" s="167" t="s">
        <v>78</v>
      </c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9"/>
      <c r="AS6" s="212">
        <v>12</v>
      </c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168" t="s">
        <v>115</v>
      </c>
      <c r="BE6" s="168"/>
      <c r="BF6" s="209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2" t="s">
        <v>77</v>
      </c>
      <c r="B7" s="243"/>
      <c r="C7" s="243"/>
      <c r="D7" s="243"/>
      <c r="E7" s="243"/>
      <c r="F7" s="243"/>
      <c r="G7" s="243"/>
      <c r="H7" s="244"/>
      <c r="I7" s="194">
        <v>39.5</v>
      </c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 t="s">
        <v>10</v>
      </c>
      <c r="AC7" s="197"/>
      <c r="AD7" s="167" t="s">
        <v>76</v>
      </c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9"/>
      <c r="AS7" s="212">
        <v>4</v>
      </c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168" t="s">
        <v>116</v>
      </c>
      <c r="BE7" s="168"/>
      <c r="BF7" s="209"/>
      <c r="BH7" s="17" t="s">
        <v>219</v>
      </c>
      <c r="BL7" s="17" t="s">
        <v>249</v>
      </c>
      <c r="BN7" s="95" t="s">
        <v>202</v>
      </c>
    </row>
    <row r="8" spans="1:70" ht="27" customHeight="1">
      <c r="A8" s="192" t="s">
        <v>75</v>
      </c>
      <c r="B8" s="193"/>
      <c r="C8" s="193"/>
      <c r="D8" s="193"/>
      <c r="E8" s="193"/>
      <c r="F8" s="193"/>
      <c r="G8" s="193"/>
      <c r="H8" s="193"/>
      <c r="I8" s="194">
        <v>18.600000000000001</v>
      </c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6" t="s">
        <v>10</v>
      </c>
      <c r="AC8" s="197"/>
      <c r="AD8" s="167" t="s">
        <v>74</v>
      </c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9"/>
      <c r="AS8" s="212">
        <v>8</v>
      </c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168" t="s">
        <v>118</v>
      </c>
      <c r="BE8" s="168"/>
      <c r="BF8" s="209"/>
      <c r="BH8" s="17" t="s">
        <v>220</v>
      </c>
      <c r="BL8" s="17" t="s">
        <v>139</v>
      </c>
      <c r="BN8" s="95" t="s">
        <v>203</v>
      </c>
    </row>
    <row r="9" spans="1:70" ht="27" customHeight="1">
      <c r="A9" s="198" t="s">
        <v>13</v>
      </c>
      <c r="B9" s="199"/>
      <c r="C9" s="199"/>
      <c r="D9" s="199"/>
      <c r="E9" s="199"/>
      <c r="F9" s="199"/>
      <c r="G9" s="199"/>
      <c r="H9" s="200"/>
      <c r="I9" s="201">
        <v>1376</v>
      </c>
      <c r="J9" s="202"/>
      <c r="K9" s="202"/>
      <c r="L9" s="202"/>
      <c r="M9" s="202"/>
      <c r="N9" s="202"/>
      <c r="O9" s="202"/>
      <c r="P9" s="202"/>
      <c r="Q9" s="202"/>
      <c r="R9" s="202"/>
      <c r="S9" s="214" t="s">
        <v>257</v>
      </c>
      <c r="T9" s="214"/>
      <c r="U9" s="214"/>
      <c r="V9" s="214"/>
      <c r="W9" s="214"/>
      <c r="X9" s="214"/>
      <c r="Y9" s="214"/>
      <c r="Z9" s="214"/>
      <c r="AA9" s="214"/>
      <c r="AB9" s="196" t="s">
        <v>114</v>
      </c>
      <c r="AC9" s="197"/>
      <c r="AD9" s="167" t="s">
        <v>72</v>
      </c>
      <c r="AE9" s="168"/>
      <c r="AF9" s="168" t="s">
        <v>56</v>
      </c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9"/>
      <c r="AS9" s="210" t="str">
        <f>IF(AND($AZ$2="6-300",$AZ$3="OP40"),"1800","1200")</f>
        <v>1200</v>
      </c>
      <c r="AT9" s="211"/>
      <c r="AU9" s="211"/>
      <c r="AV9" s="211"/>
      <c r="AW9" s="211"/>
      <c r="AX9" s="211"/>
      <c r="AY9" s="211"/>
      <c r="AZ9" s="211"/>
      <c r="BA9" s="211"/>
      <c r="BB9" s="211"/>
      <c r="BC9" s="211"/>
      <c r="BD9" s="168" t="s">
        <v>46</v>
      </c>
      <c r="BE9" s="168"/>
      <c r="BF9" s="209"/>
      <c r="BH9" s="17" t="s">
        <v>221</v>
      </c>
      <c r="BN9" s="95" t="s">
        <v>204</v>
      </c>
    </row>
    <row r="10" spans="1:70" ht="27" customHeight="1">
      <c r="A10" s="205" t="s">
        <v>70</v>
      </c>
      <c r="B10" s="206"/>
      <c r="C10" s="206"/>
      <c r="D10" s="206"/>
      <c r="E10" s="206"/>
      <c r="F10" s="206"/>
      <c r="G10" s="206"/>
      <c r="H10" s="207"/>
      <c r="I10" s="201">
        <v>1400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14"/>
      <c r="T10" s="214"/>
      <c r="U10" s="214"/>
      <c r="V10" s="214"/>
      <c r="W10" s="214"/>
      <c r="X10" s="214"/>
      <c r="Y10" s="214"/>
      <c r="Z10" s="214"/>
      <c r="AA10" s="214"/>
      <c r="AB10" s="196" t="s">
        <v>114</v>
      </c>
      <c r="AC10" s="197"/>
      <c r="AD10" s="167" t="s">
        <v>69</v>
      </c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9"/>
      <c r="AS10" s="167" t="s">
        <v>250</v>
      </c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 t="s">
        <v>215</v>
      </c>
      <c r="BE10" s="168"/>
      <c r="BF10" s="209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266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266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4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4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4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8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8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8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8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8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266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266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37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32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32</v>
      </c>
      <c r="T31" s="126" t="s">
        <v>32</v>
      </c>
      <c r="U31" s="126" t="s">
        <v>32</v>
      </c>
      <c r="V31" s="126" t="s">
        <v>32</v>
      </c>
      <c r="W31" s="126" t="s">
        <v>32</v>
      </c>
      <c r="X31" s="126" t="s">
        <v>32</v>
      </c>
      <c r="Y31" s="126" t="s">
        <v>32</v>
      </c>
      <c r="Z31" s="126" t="s">
        <v>32</v>
      </c>
      <c r="AA31" s="126" t="s">
        <v>32</v>
      </c>
      <c r="AB31" s="126" t="s">
        <v>32</v>
      </c>
      <c r="AC31" s="126" t="s">
        <v>32</v>
      </c>
      <c r="AD31" s="126" t="s">
        <v>32</v>
      </c>
      <c r="AE31" s="126" t="s">
        <v>32</v>
      </c>
      <c r="AF31" s="126" t="s">
        <v>32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267</v>
      </c>
      <c r="L32" s="126" t="s">
        <v>267</v>
      </c>
      <c r="M32" s="126" t="s">
        <v>32</v>
      </c>
      <c r="N32" s="126" t="s">
        <v>32</v>
      </c>
      <c r="O32" s="126" t="s">
        <v>267</v>
      </c>
      <c r="P32" s="126" t="s">
        <v>32</v>
      </c>
      <c r="Q32" s="126" t="s">
        <v>267</v>
      </c>
      <c r="R32" s="126" t="s">
        <v>32</v>
      </c>
      <c r="S32" s="126" t="s">
        <v>267</v>
      </c>
      <c r="T32" s="126" t="s">
        <v>32</v>
      </c>
      <c r="U32" s="126" t="s">
        <v>267</v>
      </c>
      <c r="V32" s="126" t="s">
        <v>32</v>
      </c>
      <c r="W32" s="126" t="s">
        <v>267</v>
      </c>
      <c r="X32" s="126" t="s">
        <v>267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32</v>
      </c>
      <c r="L33" s="126" t="s">
        <v>32</v>
      </c>
      <c r="M33" s="126" t="s">
        <v>267</v>
      </c>
      <c r="N33" s="126" t="s">
        <v>32</v>
      </c>
      <c r="O33" s="126" t="s">
        <v>32</v>
      </c>
      <c r="P33" s="126" t="s">
        <v>32</v>
      </c>
      <c r="Q33" s="126" t="s">
        <v>32</v>
      </c>
      <c r="R33" s="126" t="s">
        <v>32</v>
      </c>
      <c r="S33" s="126" t="s">
        <v>32</v>
      </c>
      <c r="T33" s="126" t="s">
        <v>32</v>
      </c>
      <c r="U33" s="126" t="s">
        <v>32</v>
      </c>
      <c r="V33" s="126" t="s">
        <v>32</v>
      </c>
      <c r="W33" s="126" t="s">
        <v>32</v>
      </c>
      <c r="X33" s="126" t="s">
        <v>32</v>
      </c>
      <c r="Y33" s="126" t="s">
        <v>32</v>
      </c>
      <c r="Z33" s="126" t="s">
        <v>32</v>
      </c>
      <c r="AA33" s="126" t="s">
        <v>267</v>
      </c>
      <c r="AB33" s="126" t="s">
        <v>32</v>
      </c>
      <c r="AC33" s="126" t="s">
        <v>32</v>
      </c>
      <c r="AD33" s="126" t="s">
        <v>32</v>
      </c>
      <c r="AE33" s="126" t="s">
        <v>32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32</v>
      </c>
      <c r="N34" s="126" t="s">
        <v>32</v>
      </c>
      <c r="O34" s="126" t="s">
        <v>32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267</v>
      </c>
      <c r="U34" s="126" t="s">
        <v>32</v>
      </c>
      <c r="V34" s="126" t="s">
        <v>32</v>
      </c>
      <c r="W34" s="126" t="s">
        <v>32</v>
      </c>
      <c r="X34" s="126" t="s">
        <v>32</v>
      </c>
      <c r="Y34" s="126" t="s">
        <v>267</v>
      </c>
      <c r="Z34" s="126" t="s">
        <v>32</v>
      </c>
      <c r="AA34" s="126" t="s">
        <v>32</v>
      </c>
      <c r="AB34" s="126" t="s">
        <v>32</v>
      </c>
      <c r="AC34" s="126" t="s">
        <v>267</v>
      </c>
      <c r="AD34" s="126" t="s">
        <v>32</v>
      </c>
      <c r="AE34" s="126" t="s">
        <v>32</v>
      </c>
      <c r="AF34" s="126" t="s">
        <v>32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32</v>
      </c>
      <c r="K35" s="126" t="s">
        <v>32</v>
      </c>
      <c r="L35" s="126" t="s">
        <v>32</v>
      </c>
      <c r="M35" s="126" t="s">
        <v>267</v>
      </c>
      <c r="N35" s="126" t="s">
        <v>32</v>
      </c>
      <c r="O35" s="126" t="s">
        <v>32</v>
      </c>
      <c r="P35" s="126" t="s">
        <v>32</v>
      </c>
      <c r="Q35" s="126" t="s">
        <v>32</v>
      </c>
      <c r="R35" s="126" t="s">
        <v>267</v>
      </c>
      <c r="S35" s="126" t="s">
        <v>32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32</v>
      </c>
      <c r="Y35" s="126" t="s">
        <v>32</v>
      </c>
      <c r="Z35" s="126" t="s">
        <v>267</v>
      </c>
      <c r="AA35" s="126" t="s">
        <v>267</v>
      </c>
      <c r="AB35" s="126" t="s">
        <v>267</v>
      </c>
      <c r="AC35" s="126" t="s">
        <v>267</v>
      </c>
      <c r="AD35" s="126" t="s">
        <v>32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32</v>
      </c>
      <c r="M36" s="126" t="s">
        <v>32</v>
      </c>
      <c r="N36" s="126" t="s">
        <v>267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267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32</v>
      </c>
      <c r="AA36" s="126" t="s">
        <v>32</v>
      </c>
      <c r="AB36" s="126" t="s">
        <v>32</v>
      </c>
      <c r="AC36" s="126" t="s">
        <v>32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267</v>
      </c>
      <c r="N37" s="126" t="s">
        <v>32</v>
      </c>
      <c r="O37" s="126" t="s">
        <v>32</v>
      </c>
      <c r="P37" s="126" t="s">
        <v>32</v>
      </c>
      <c r="Q37" s="126" t="s">
        <v>32</v>
      </c>
      <c r="R37" s="126" t="s">
        <v>32</v>
      </c>
      <c r="S37" s="126" t="s">
        <v>32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32</v>
      </c>
      <c r="Z37" s="126" t="s">
        <v>267</v>
      </c>
      <c r="AA37" s="126" t="s">
        <v>267</v>
      </c>
      <c r="AB37" s="126" t="s">
        <v>32</v>
      </c>
      <c r="AC37" s="126" t="s">
        <v>267</v>
      </c>
      <c r="AD37" s="126" t="s">
        <v>32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267</v>
      </c>
      <c r="P38" s="126" t="s">
        <v>32</v>
      </c>
      <c r="Q38" s="126" t="s">
        <v>267</v>
      </c>
      <c r="R38" s="126" t="s">
        <v>32</v>
      </c>
      <c r="S38" s="126" t="s">
        <v>32</v>
      </c>
      <c r="T38" s="126" t="s">
        <v>267</v>
      </c>
      <c r="U38" s="126" t="s">
        <v>32</v>
      </c>
      <c r="V38" s="126" t="s">
        <v>32</v>
      </c>
      <c r="W38" s="126" t="s">
        <v>32</v>
      </c>
      <c r="X38" s="126" t="s">
        <v>267</v>
      </c>
      <c r="Y38" s="126" t="s">
        <v>32</v>
      </c>
      <c r="Z38" s="126" t="s">
        <v>267</v>
      </c>
      <c r="AA38" s="126" t="s">
        <v>267</v>
      </c>
      <c r="AB38" s="126" t="s">
        <v>267</v>
      </c>
      <c r="AC38" s="126" t="s">
        <v>32</v>
      </c>
      <c r="AD38" s="126" t="s">
        <v>32</v>
      </c>
      <c r="AE38" s="126" t="s">
        <v>32</v>
      </c>
      <c r="AF38" s="126" t="s">
        <v>32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32</v>
      </c>
      <c r="K39" s="126" t="s">
        <v>32</v>
      </c>
      <c r="L39" s="126" t="s">
        <v>32</v>
      </c>
      <c r="M39" s="126" t="s">
        <v>32</v>
      </c>
      <c r="N39" s="126" t="s">
        <v>32</v>
      </c>
      <c r="O39" s="126" t="s">
        <v>32</v>
      </c>
      <c r="P39" s="126" t="s">
        <v>32</v>
      </c>
      <c r="Q39" s="126" t="s">
        <v>32</v>
      </c>
      <c r="R39" s="126" t="s">
        <v>32</v>
      </c>
      <c r="S39" s="126" t="s">
        <v>267</v>
      </c>
      <c r="T39" s="126" t="s">
        <v>32</v>
      </c>
      <c r="U39" s="126" t="s">
        <v>267</v>
      </c>
      <c r="V39" s="126" t="s">
        <v>32</v>
      </c>
      <c r="W39" s="126" t="s">
        <v>267</v>
      </c>
      <c r="X39" s="126" t="s">
        <v>32</v>
      </c>
      <c r="Y39" s="126" t="s">
        <v>32</v>
      </c>
      <c r="Z39" s="126" t="s">
        <v>32</v>
      </c>
      <c r="AA39" s="126" t="s">
        <v>267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32</v>
      </c>
      <c r="S40" s="126" t="s">
        <v>32</v>
      </c>
      <c r="T40" s="126" t="s">
        <v>32</v>
      </c>
      <c r="U40" s="126" t="s">
        <v>32</v>
      </c>
      <c r="V40" s="126" t="s">
        <v>32</v>
      </c>
      <c r="W40" s="126" t="s">
        <v>32</v>
      </c>
      <c r="X40" s="126" t="s">
        <v>32</v>
      </c>
      <c r="Y40" s="126" t="s">
        <v>32</v>
      </c>
      <c r="Z40" s="126" t="s">
        <v>32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5">
        <v>59</v>
      </c>
      <c r="BA41" s="276"/>
      <c r="BB41" s="276"/>
      <c r="BC41" s="276"/>
      <c r="BD41" s="276"/>
      <c r="BE41" s="276"/>
      <c r="BF41" s="277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78"/>
      <c r="BA42" s="279"/>
      <c r="BB42" s="279"/>
      <c r="BC42" s="279"/>
      <c r="BD42" s="279"/>
      <c r="BE42" s="279"/>
      <c r="BF42" s="280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8"/>
      <c r="AZ43" s="275">
        <v>1000</v>
      </c>
      <c r="BA43" s="276"/>
      <c r="BB43" s="276"/>
      <c r="BC43" s="276"/>
      <c r="BD43" s="276"/>
      <c r="BE43" s="276"/>
      <c r="BF43" s="277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9" t="str">
        <f>IF(AZ2="7-200","（± 0.2Mpa）"," （± 50KN）")</f>
        <v xml:space="preserve"> （± 50KN）</v>
      </c>
      <c r="AT44" s="190"/>
      <c r="AU44" s="190"/>
      <c r="AV44" s="190"/>
      <c r="AW44" s="190"/>
      <c r="AX44" s="190"/>
      <c r="AY44" s="191"/>
      <c r="AZ44" s="278"/>
      <c r="BA44" s="279"/>
      <c r="BB44" s="279"/>
      <c r="BC44" s="279"/>
      <c r="BD44" s="279"/>
      <c r="BE44" s="279"/>
      <c r="BF44" s="280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34"/>
      <c r="BC45" s="56"/>
      <c r="BD45" s="56"/>
      <c r="BE45" s="56"/>
      <c r="BF45" s="57"/>
    </row>
    <row r="46" spans="1:58" ht="19.149999999999999" customHeight="1">
      <c r="A46" s="133" t="s">
        <v>59</v>
      </c>
      <c r="B46" s="51"/>
      <c r="C46" s="50"/>
      <c r="D46" s="155" t="str">
        <f>'单动-高速压机OP30'!D46:N46</f>
        <v>2SD 809 605</v>
      </c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281" t="s">
        <v>135</v>
      </c>
      <c r="P46" s="281"/>
      <c r="Q46" s="281"/>
      <c r="R46" s="281"/>
      <c r="S46" s="281"/>
      <c r="T46" s="281"/>
      <c r="U46" s="281"/>
      <c r="V46" s="59"/>
      <c r="W46" s="127"/>
      <c r="X46" s="59"/>
      <c r="Y46" s="59"/>
      <c r="Z46" s="59"/>
      <c r="AA46" s="59"/>
      <c r="AB46" s="59"/>
      <c r="AC46" s="60"/>
      <c r="AD46" s="136" t="s">
        <v>238</v>
      </c>
      <c r="AE46" s="134"/>
      <c r="AF46" s="134"/>
      <c r="AG46" s="134"/>
      <c r="AH46" s="13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34"/>
      <c r="AS46" s="134"/>
      <c r="AT46" s="22"/>
      <c r="AU46" s="134"/>
      <c r="AV46" s="134"/>
      <c r="AW46" s="51"/>
      <c r="AX46" s="134"/>
      <c r="AY46" s="51"/>
      <c r="AZ46" s="20"/>
      <c r="BA46" s="20"/>
      <c r="BB46" s="134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155" t="str">
        <f>D46</f>
        <v>2SD 809 605</v>
      </c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281" t="s">
        <v>137</v>
      </c>
      <c r="P47" s="281"/>
      <c r="Q47" s="281"/>
      <c r="R47" s="281"/>
      <c r="S47" s="281"/>
      <c r="T47" s="281"/>
      <c r="U47" s="281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34"/>
      <c r="AS47" s="134"/>
      <c r="AT47" s="22"/>
      <c r="AU47" s="134"/>
      <c r="AV47" s="134"/>
      <c r="AW47" s="51"/>
      <c r="AX47" s="134"/>
      <c r="AY47" s="51"/>
      <c r="AZ47" s="20"/>
      <c r="BA47" s="20"/>
      <c r="BB47" s="134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35"/>
      <c r="AE48" s="134"/>
      <c r="AF48" s="134"/>
      <c r="AG48" s="134"/>
      <c r="AH48" s="134"/>
      <c r="AI48" s="134"/>
      <c r="AJ48" s="22"/>
      <c r="AK48" s="134"/>
      <c r="AL48" s="134"/>
      <c r="AM48" s="134"/>
      <c r="AN48" s="134"/>
      <c r="AO48" s="134"/>
      <c r="AP48" s="134"/>
      <c r="AQ48" s="134"/>
      <c r="AR48" s="134"/>
      <c r="AS48" s="134"/>
      <c r="AT48" s="22"/>
      <c r="AU48" s="134"/>
      <c r="AV48" s="134"/>
      <c r="AW48" s="51"/>
      <c r="AX48" s="134"/>
      <c r="AY48" s="51"/>
      <c r="AZ48" s="20"/>
      <c r="BA48" s="20"/>
      <c r="BB48" s="134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235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34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70" t="s">
        <v>27</v>
      </c>
      <c r="AE53" s="170"/>
      <c r="AF53" s="170"/>
      <c r="AG53" s="170"/>
      <c r="AH53" s="170"/>
      <c r="AI53" s="170"/>
      <c r="AJ53" s="170"/>
      <c r="AK53" s="170"/>
      <c r="AL53" s="287" t="s">
        <v>258</v>
      </c>
      <c r="AM53" s="287"/>
      <c r="AN53" s="287"/>
      <c r="AO53" s="287"/>
      <c r="AP53" s="287"/>
      <c r="AQ53" s="287"/>
      <c r="AR53" s="287"/>
      <c r="AS53" s="170" t="s">
        <v>28</v>
      </c>
      <c r="AT53" s="170"/>
      <c r="AU53" s="170"/>
      <c r="AV53" s="170"/>
      <c r="AW53" s="170"/>
      <c r="AX53" s="170"/>
      <c r="AY53" s="170"/>
      <c r="AZ53" s="288" t="s">
        <v>259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70"/>
      <c r="AE54" s="170"/>
      <c r="AF54" s="170"/>
      <c r="AG54" s="170"/>
      <c r="AH54" s="170"/>
      <c r="AI54" s="170"/>
      <c r="AJ54" s="170"/>
      <c r="AK54" s="170"/>
      <c r="AL54" s="287"/>
      <c r="AM54" s="287"/>
      <c r="AN54" s="287"/>
      <c r="AO54" s="287"/>
      <c r="AP54" s="287"/>
      <c r="AQ54" s="287"/>
      <c r="AR54" s="287"/>
      <c r="AS54" s="170"/>
      <c r="AT54" s="170"/>
      <c r="AU54" s="170"/>
      <c r="AV54" s="170"/>
      <c r="AW54" s="170"/>
      <c r="AX54" s="170"/>
      <c r="AY54" s="170"/>
      <c r="AZ54" s="278"/>
      <c r="BA54" s="279"/>
      <c r="BB54" s="279"/>
      <c r="BC54" s="279"/>
      <c r="BD54" s="279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5"/>
      <c r="F55" s="235"/>
      <c r="G55" s="235"/>
      <c r="H55" s="23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5"/>
      <c r="Y55" s="235"/>
      <c r="Z55" s="235"/>
      <c r="AA55" s="235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5"/>
      <c r="AS55" s="235"/>
      <c r="AT55" s="235"/>
      <c r="AU55" s="235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272</v>
      </c>
    </row>
  </sheetData>
  <sheetProtection selectLockedCells="1"/>
  <protectedRanges>
    <protectedRange sqref="AZ1:BF1 I3 W3 AL3 I5:AA8 I9:I10 AS5:BC10 AZ42:AZ43 AD45:BF45 AX12 BA29 AD47:BF52 AK46:BF46 H12:AH26 AZ3:BF3 H30:AH43" name="区域1"/>
    <protectedRange sqref="AL53 AZ53" name="区域1_1"/>
    <protectedRange sqref="AZ2:BF2" name="区域1_2"/>
  </protectedRanges>
  <mergeCells count="106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468" priority="105">
      <formula>AND($AZ$2&lt;&gt;"4-100")</formula>
    </cfRule>
  </conditionalFormatting>
  <conditionalFormatting sqref="O18:R18">
    <cfRule type="expression" dxfId="467" priority="104">
      <formula>AND($AZ$2&lt;&gt;"4-100")</formula>
    </cfRule>
  </conditionalFormatting>
  <conditionalFormatting sqref="S18">
    <cfRule type="expression" dxfId="466" priority="103">
      <formula>AND($AZ$2&lt;&gt;"4-100")</formula>
    </cfRule>
  </conditionalFormatting>
  <conditionalFormatting sqref="N19">
    <cfRule type="expression" dxfId="465" priority="102">
      <formula>AND($AZ$2&lt;&gt;"4-100")</formula>
    </cfRule>
  </conditionalFormatting>
  <conditionalFormatting sqref="N20">
    <cfRule type="expression" dxfId="464" priority="101">
      <formula>AND($AZ$2&lt;&gt;"4-100")</formula>
    </cfRule>
  </conditionalFormatting>
  <conditionalFormatting sqref="O20:R20">
    <cfRule type="expression" dxfId="463" priority="100">
      <formula>AND($AZ$2&lt;&gt;"4-100")</formula>
    </cfRule>
  </conditionalFormatting>
  <conditionalFormatting sqref="S20">
    <cfRule type="expression" dxfId="462" priority="99">
      <formula>AND($AZ$2&lt;&gt;"4-100")</formula>
    </cfRule>
  </conditionalFormatting>
  <conditionalFormatting sqref="S19">
    <cfRule type="expression" dxfId="461" priority="98">
      <formula>AND($AZ$2&lt;&gt;"4-100")</formula>
    </cfRule>
  </conditionalFormatting>
  <conditionalFormatting sqref="W18">
    <cfRule type="expression" dxfId="460" priority="97">
      <formula>AND($AZ$2&lt;&gt;"4-100")</formula>
    </cfRule>
  </conditionalFormatting>
  <conditionalFormatting sqref="X18:AA18">
    <cfRule type="expression" dxfId="459" priority="96">
      <formula>AND($AZ$2&lt;&gt;"4-100")</formula>
    </cfRule>
  </conditionalFormatting>
  <conditionalFormatting sqref="AB18">
    <cfRule type="expression" dxfId="458" priority="95">
      <formula>AND($AZ$2&lt;&gt;"4-100")</formula>
    </cfRule>
  </conditionalFormatting>
  <conditionalFormatting sqref="W19">
    <cfRule type="expression" dxfId="457" priority="94">
      <formula>AND($AZ$2&lt;&gt;"4-100")</formula>
    </cfRule>
  </conditionalFormatting>
  <conditionalFormatting sqref="W20">
    <cfRule type="expression" dxfId="456" priority="93">
      <formula>AND($AZ$2&lt;&gt;"4-100")</formula>
    </cfRule>
  </conditionalFormatting>
  <conditionalFormatting sqref="X20:AA20">
    <cfRule type="expression" dxfId="455" priority="92">
      <formula>AND($AZ$2&lt;&gt;"4-100")</formula>
    </cfRule>
  </conditionalFormatting>
  <conditionalFormatting sqref="AB20">
    <cfRule type="expression" dxfId="454" priority="91">
      <formula>AND($AZ$2&lt;&gt;"4-100")</formula>
    </cfRule>
  </conditionalFormatting>
  <conditionalFormatting sqref="AB19">
    <cfRule type="expression" dxfId="453" priority="90">
      <formula>AND($AZ$2&lt;&gt;"4-100")</formula>
    </cfRule>
  </conditionalFormatting>
  <conditionalFormatting sqref="H30:AH43">
    <cfRule type="expression" dxfId="452" priority="89">
      <formula>AND(H30=$BI$4)</formula>
    </cfRule>
  </conditionalFormatting>
  <conditionalFormatting sqref="J13">
    <cfRule type="expression" dxfId="451" priority="85">
      <formula>J13=""</formula>
    </cfRule>
    <cfRule type="expression" dxfId="450" priority="88">
      <formula>AND(J13=$BI$2)</formula>
    </cfRule>
  </conditionalFormatting>
  <conditionalFormatting sqref="K13">
    <cfRule type="expression" dxfId="449" priority="48">
      <formula>K13=""</formula>
    </cfRule>
    <cfRule type="expression" dxfId="448" priority="87">
      <formula>AND(K13=$BI$2)</formula>
    </cfRule>
  </conditionalFormatting>
  <conditionalFormatting sqref="I5:AA8 I3:O3 W3:AC3 AS6:BC8 I9:R10">
    <cfRule type="containsBlanks" dxfId="447" priority="108">
      <formula>LEN(TRIM(I3))=0</formula>
    </cfRule>
  </conditionalFormatting>
  <conditionalFormatting sqref="AL3:AR3">
    <cfRule type="containsBlanks" dxfId="446" priority="107">
      <formula>LEN(TRIM(AL3))=0</formula>
    </cfRule>
  </conditionalFormatting>
  <conditionalFormatting sqref="AZ1:BF1">
    <cfRule type="containsBlanks" dxfId="445" priority="106">
      <formula>LEN(TRIM(AZ1))=0</formula>
    </cfRule>
  </conditionalFormatting>
  <conditionalFormatting sqref="AZ3:BF3">
    <cfRule type="containsBlanks" dxfId="444" priority="110">
      <formula>LEN(TRIM(AZ3))=0</formula>
    </cfRule>
  </conditionalFormatting>
  <conditionalFormatting sqref="AZ41">
    <cfRule type="containsBlanks" dxfId="443" priority="111">
      <formula>LEN(TRIM(AZ41))=0</formula>
    </cfRule>
  </conditionalFormatting>
  <conditionalFormatting sqref="AZ43">
    <cfRule type="containsBlanks" dxfId="442" priority="112">
      <formula>LEN(TRIM(AZ43))=0</formula>
    </cfRule>
  </conditionalFormatting>
  <conditionalFormatting sqref="D46:N46">
    <cfRule type="containsBlanks" dxfId="441" priority="113">
      <formula>LEN(TRIM(D46))=0</formula>
    </cfRule>
  </conditionalFormatting>
  <conditionalFormatting sqref="O46:U46">
    <cfRule type="containsBlanks" dxfId="440" priority="115">
      <formula>LEN(TRIM(O46))=0</formula>
    </cfRule>
  </conditionalFormatting>
  <conditionalFormatting sqref="O47:U47">
    <cfRule type="containsBlanks" dxfId="439" priority="116">
      <formula>LEN(TRIM(O47))=0</formula>
    </cfRule>
  </conditionalFormatting>
  <conditionalFormatting sqref="D47:N47">
    <cfRule type="containsBlanks" dxfId="438" priority="114">
      <formula>LEN(TRIM(D47))=0</formula>
    </cfRule>
  </conditionalFormatting>
  <conditionalFormatting sqref="D51:AB51">
    <cfRule type="containsBlanks" dxfId="437" priority="117">
      <formula>LEN(TRIM(D51))=0</formula>
    </cfRule>
  </conditionalFormatting>
  <conditionalFormatting sqref="AI46">
    <cfRule type="containsBlanks" dxfId="436" priority="120">
      <formula>LEN(TRIM(AI46))=0</formula>
    </cfRule>
  </conditionalFormatting>
  <conditionalFormatting sqref="H30:AH42">
    <cfRule type="expression" dxfId="435" priority="86">
      <formula>H30=""</formula>
    </cfRule>
  </conditionalFormatting>
  <conditionalFormatting sqref="J14">
    <cfRule type="expression" dxfId="434" priority="83">
      <formula>J14=""</formula>
    </cfRule>
    <cfRule type="expression" dxfId="433" priority="84">
      <formula>AND(J14=$BI$2)</formula>
    </cfRule>
  </conditionalFormatting>
  <conditionalFormatting sqref="J24">
    <cfRule type="expression" dxfId="432" priority="81">
      <formula>J24=""</formula>
    </cfRule>
    <cfRule type="expression" dxfId="431" priority="82">
      <formula>AND(J24=$BI$2)</formula>
    </cfRule>
  </conditionalFormatting>
  <conditionalFormatting sqref="J25">
    <cfRule type="expression" dxfId="430" priority="79">
      <formula>J25=""</formula>
    </cfRule>
    <cfRule type="expression" dxfId="429" priority="80">
      <formula>AND(J25=$BI$2)</formula>
    </cfRule>
  </conditionalFormatting>
  <conditionalFormatting sqref="L13">
    <cfRule type="expression" dxfId="428" priority="77">
      <formula>L13=""</formula>
    </cfRule>
    <cfRule type="expression" dxfId="427" priority="78">
      <formula>AND(L13=$BI$2)</formula>
    </cfRule>
  </conditionalFormatting>
  <conditionalFormatting sqref="P13">
    <cfRule type="expression" dxfId="426" priority="75">
      <formula>P13=""</formula>
    </cfRule>
    <cfRule type="expression" dxfId="425" priority="76">
      <formula>AND(P13=$BI$2)</formula>
    </cfRule>
  </conditionalFormatting>
  <conditionalFormatting sqref="P14">
    <cfRule type="expression" dxfId="424" priority="73">
      <formula>P14=""</formula>
    </cfRule>
    <cfRule type="expression" dxfId="423" priority="74">
      <formula>AND(P14=$BI$2)</formula>
    </cfRule>
  </conditionalFormatting>
  <conditionalFormatting sqref="P24">
    <cfRule type="expression" dxfId="422" priority="71">
      <formula>P24=""</formula>
    </cfRule>
    <cfRule type="expression" dxfId="421" priority="72">
      <formula>AND(P24=$BI$2)</formula>
    </cfRule>
  </conditionalFormatting>
  <conditionalFormatting sqref="P25">
    <cfRule type="expression" dxfId="420" priority="69">
      <formula>P25=""</formula>
    </cfRule>
    <cfRule type="expression" dxfId="419" priority="70">
      <formula>AND(P25=$BI$2)</formula>
    </cfRule>
  </conditionalFormatting>
  <conditionalFormatting sqref="L25">
    <cfRule type="expression" dxfId="418" priority="67">
      <formula>L25=""</formula>
    </cfRule>
    <cfRule type="expression" dxfId="417" priority="68">
      <formula>AND(L25=$BI$2)</formula>
    </cfRule>
  </conditionalFormatting>
  <conditionalFormatting sqref="T14">
    <cfRule type="expression" dxfId="416" priority="65">
      <formula>T14=""</formula>
    </cfRule>
    <cfRule type="expression" dxfId="415" priority="66">
      <formula>AND(T14=$BI$2)</formula>
    </cfRule>
  </conditionalFormatting>
  <conditionalFormatting sqref="T24">
    <cfRule type="expression" dxfId="414" priority="63">
      <formula>T24=""</formula>
    </cfRule>
    <cfRule type="expression" dxfId="413" priority="64">
      <formula>AND(T24=$BI$2)</formula>
    </cfRule>
  </conditionalFormatting>
  <conditionalFormatting sqref="AA13">
    <cfRule type="expression" dxfId="412" priority="61">
      <formula>AA13=""</formula>
    </cfRule>
    <cfRule type="expression" dxfId="411" priority="62">
      <formula>AND(AA13=$BI$2)</formula>
    </cfRule>
  </conditionalFormatting>
  <conditionalFormatting sqref="AC12">
    <cfRule type="expression" dxfId="410" priority="7">
      <formula>$AZ$2&lt;&gt;"6-300"</formula>
    </cfRule>
    <cfRule type="expression" dxfId="409" priority="59">
      <formula>AC12=""</formula>
    </cfRule>
    <cfRule type="expression" dxfId="408" priority="60">
      <formula>AND(AC12=$BI$2)</formula>
    </cfRule>
  </conditionalFormatting>
  <conditionalFormatting sqref="AC13">
    <cfRule type="expression" dxfId="407" priority="57">
      <formula>AC13=""</formula>
    </cfRule>
    <cfRule type="expression" dxfId="406" priority="58">
      <formula>AND(AC13=$BI$2)</formula>
    </cfRule>
  </conditionalFormatting>
  <conditionalFormatting sqref="AE13">
    <cfRule type="expression" dxfId="405" priority="55">
      <formula>AE13=""</formula>
    </cfRule>
    <cfRule type="expression" dxfId="404" priority="56">
      <formula>AND(AE13=$BI$2)</formula>
    </cfRule>
  </conditionalFormatting>
  <conditionalFormatting sqref="AC25">
    <cfRule type="expression" dxfId="403" priority="53">
      <formula>AC25=""</formula>
    </cfRule>
    <cfRule type="expression" dxfId="402" priority="54">
      <formula>AND(AC25=$BI$2)</formula>
    </cfRule>
  </conditionalFormatting>
  <conditionalFormatting sqref="AE25">
    <cfRule type="expression" dxfId="401" priority="51">
      <formula>AE25=""</formula>
    </cfRule>
    <cfRule type="expression" dxfId="400" priority="52">
      <formula>AND(AE25=$BI$2)</formula>
    </cfRule>
  </conditionalFormatting>
  <conditionalFormatting sqref="AA25">
    <cfRule type="expression" dxfId="399" priority="49">
      <formula>AA25=""</formula>
    </cfRule>
    <cfRule type="expression" dxfId="398" priority="50">
      <formula>AND(AA25=$BI$2)</formula>
    </cfRule>
  </conditionalFormatting>
  <conditionalFormatting sqref="K25">
    <cfRule type="expression" dxfId="397" priority="46">
      <formula>K25=""</formula>
    </cfRule>
    <cfRule type="expression" dxfId="396" priority="47">
      <formula>AND(K25=$BI$2)</formula>
    </cfRule>
  </conditionalFormatting>
  <conditionalFormatting sqref="M12">
    <cfRule type="expression" dxfId="395" priority="11">
      <formula>$AZ$2&lt;&gt;"6-300"</formula>
    </cfRule>
    <cfRule type="expression" dxfId="394" priority="44">
      <formula>M12=""</formula>
    </cfRule>
    <cfRule type="expression" dxfId="393" priority="45">
      <formula>AND(M12=$BI$2)</formula>
    </cfRule>
  </conditionalFormatting>
  <conditionalFormatting sqref="M13">
    <cfRule type="expression" dxfId="392" priority="42">
      <formula>M13=""</formula>
    </cfRule>
    <cfRule type="expression" dxfId="391" priority="43">
      <formula>AND(M13=$BI$2)</formula>
    </cfRule>
  </conditionalFormatting>
  <conditionalFormatting sqref="M25">
    <cfRule type="expression" dxfId="390" priority="40">
      <formula>M25=""</formula>
    </cfRule>
    <cfRule type="expression" dxfId="389" priority="41">
      <formula>AND(M25=$BI$2)</formula>
    </cfRule>
  </conditionalFormatting>
  <conditionalFormatting sqref="O13">
    <cfRule type="expression" dxfId="388" priority="38">
      <formula>O13=""</formula>
    </cfRule>
    <cfRule type="expression" dxfId="387" priority="39">
      <formula>AND(O13=$BI$2)</formula>
    </cfRule>
  </conditionalFormatting>
  <conditionalFormatting sqref="O25">
    <cfRule type="expression" dxfId="386" priority="36">
      <formula>O25=""</formula>
    </cfRule>
    <cfRule type="expression" dxfId="385" priority="37">
      <formula>AND(O25=$BI$2)</formula>
    </cfRule>
  </conditionalFormatting>
  <conditionalFormatting sqref="V14">
    <cfRule type="expression" dxfId="384" priority="34">
      <formula>V14=""</formula>
    </cfRule>
    <cfRule type="expression" dxfId="383" priority="35">
      <formula>AND(V14=$BI$2)</formula>
    </cfRule>
  </conditionalFormatting>
  <conditionalFormatting sqref="V24">
    <cfRule type="expression" dxfId="382" priority="32">
      <formula>V24=""</formula>
    </cfRule>
    <cfRule type="expression" dxfId="381" priority="33">
      <formula>AND(V24=$BI$2)</formula>
    </cfRule>
  </conditionalFormatting>
  <conditionalFormatting sqref="Z13">
    <cfRule type="expression" dxfId="380" priority="30">
      <formula>Z13=""</formula>
    </cfRule>
    <cfRule type="expression" dxfId="379" priority="31">
      <formula>AND(Z13=$BI$2)</formula>
    </cfRule>
  </conditionalFormatting>
  <conditionalFormatting sqref="Z14">
    <cfRule type="expression" dxfId="378" priority="28">
      <formula>Z14=""</formula>
    </cfRule>
    <cfRule type="expression" dxfId="377" priority="29">
      <formula>AND(Z14=$BI$2)</formula>
    </cfRule>
  </conditionalFormatting>
  <conditionalFormatting sqref="Z24">
    <cfRule type="expression" dxfId="376" priority="26">
      <formula>Z24=""</formula>
    </cfRule>
    <cfRule type="expression" dxfId="375" priority="27">
      <formula>AND(Z24=$BI$2)</formula>
    </cfRule>
  </conditionalFormatting>
  <conditionalFormatting sqref="Z25">
    <cfRule type="expression" dxfId="374" priority="24">
      <formula>Z25=""</formula>
    </cfRule>
    <cfRule type="expression" dxfId="373" priority="25">
      <formula>AND(Z25=$BI$2)</formula>
    </cfRule>
  </conditionalFormatting>
  <conditionalFormatting sqref="AD13">
    <cfRule type="expression" dxfId="372" priority="22">
      <formula>AD13=""</formula>
    </cfRule>
    <cfRule type="expression" dxfId="371" priority="23">
      <formula>AND(AD13=$BI$2)</formula>
    </cfRule>
  </conditionalFormatting>
  <conditionalFormatting sqref="AD25">
    <cfRule type="expression" dxfId="370" priority="20">
      <formula>AD25=""</formula>
    </cfRule>
    <cfRule type="expression" dxfId="369" priority="21">
      <formula>AND(AD25=$BI$2)</formula>
    </cfRule>
  </conditionalFormatting>
  <conditionalFormatting sqref="AF13">
    <cfRule type="expression" dxfId="368" priority="18">
      <formula>AF13=""</formula>
    </cfRule>
    <cfRule type="expression" dxfId="367" priority="19">
      <formula>AND(AF13=$BI$2)</formula>
    </cfRule>
  </conditionalFormatting>
  <conditionalFormatting sqref="AF14">
    <cfRule type="expression" dxfId="366" priority="16">
      <formula>AF14=""</formula>
    </cfRule>
    <cfRule type="expression" dxfId="365" priority="17">
      <formula>AND(AF14=$BI$2)</formula>
    </cfRule>
  </conditionalFormatting>
  <conditionalFormatting sqref="AF24">
    <cfRule type="expression" dxfId="364" priority="14">
      <formula>AF24=""</formula>
    </cfRule>
    <cfRule type="expression" dxfId="363" priority="15">
      <formula>AND(AF24=$BI$2)</formula>
    </cfRule>
  </conditionalFormatting>
  <conditionalFormatting sqref="AF25">
    <cfRule type="expression" dxfId="362" priority="12">
      <formula>AF25=""</formula>
    </cfRule>
    <cfRule type="expression" dxfId="361" priority="13">
      <formula>AND(AF25=$BI$2)</formula>
    </cfRule>
  </conditionalFormatting>
  <conditionalFormatting sqref="M26">
    <cfRule type="expression" dxfId="360" priority="8">
      <formula>$AZ$2&lt;&gt;"6-300"</formula>
    </cfRule>
    <cfRule type="expression" dxfId="359" priority="9">
      <formula>M26=""</formula>
    </cfRule>
    <cfRule type="expression" dxfId="358" priority="10">
      <formula>AND(M26=$BI$2)</formula>
    </cfRule>
  </conditionalFormatting>
  <conditionalFormatting sqref="AC26">
    <cfRule type="expression" dxfId="357" priority="4">
      <formula>$AZ$2&lt;&gt;"6-300"</formula>
    </cfRule>
    <cfRule type="expression" dxfId="356" priority="5">
      <formula>AC26=""</formula>
    </cfRule>
    <cfRule type="expression" dxfId="355" priority="6">
      <formula>AND(AC26=$BI$2)</formula>
    </cfRule>
  </conditionalFormatting>
  <conditionalFormatting sqref="AL53:AR54">
    <cfRule type="containsBlanks" dxfId="354" priority="2">
      <formula>LEN(TRIM(AL53))=0</formula>
    </cfRule>
  </conditionalFormatting>
  <conditionalFormatting sqref="AZ53:BD54">
    <cfRule type="containsBlanks" dxfId="353" priority="3">
      <formula>LEN(TRIM(AZ53))=0</formula>
    </cfRule>
  </conditionalFormatting>
  <conditionalFormatting sqref="AZ2:BF2">
    <cfRule type="containsBlanks" dxfId="352" priority="1">
      <formula>LEN(TRIM(AZ2))=0</formula>
    </cfRule>
  </conditionalFormatting>
  <dataValidations count="9">
    <dataValidation type="list" allowBlank="1" showInputMessage="1" showErrorMessage="1" sqref="H30:AH43">
      <formula1>$BI$3:$BI$4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AZ2:BF2">
      <formula1>$BH$2:$BH$9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16" zoomScale="85" zoomScaleNormal="100" zoomScaleSheetLayoutView="85" workbookViewId="0">
      <selection activeCell="AS8" sqref="AS8:BC8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5" t="s">
        <v>271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7"/>
      <c r="AS1" s="221" t="s">
        <v>0</v>
      </c>
      <c r="AT1" s="222"/>
      <c r="AU1" s="222"/>
      <c r="AV1" s="222"/>
      <c r="AW1" s="222"/>
      <c r="AX1" s="222"/>
      <c r="AY1" s="222"/>
      <c r="AZ1" s="228">
        <f>'单动-高速压机OP40'!AZ1:BF1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20"/>
      <c r="AS2" s="197" t="s">
        <v>84</v>
      </c>
      <c r="AT2" s="226"/>
      <c r="AU2" s="226"/>
      <c r="AV2" s="226"/>
      <c r="AW2" s="226"/>
      <c r="AX2" s="226"/>
      <c r="AY2" s="226"/>
      <c r="AZ2" s="231" t="s">
        <v>264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5" t="s">
        <v>1</v>
      </c>
      <c r="B3" s="226"/>
      <c r="C3" s="226"/>
      <c r="D3" s="226"/>
      <c r="E3" s="226"/>
      <c r="F3" s="226"/>
      <c r="G3" s="226"/>
      <c r="H3" s="226"/>
      <c r="I3" s="282" t="str">
        <f>'单动-高速压机OP40'!I3:O3</f>
        <v>2SD 809 605</v>
      </c>
      <c r="J3" s="282"/>
      <c r="K3" s="282"/>
      <c r="L3" s="282"/>
      <c r="M3" s="282"/>
      <c r="N3" s="282"/>
      <c r="O3" s="282"/>
      <c r="P3" s="226" t="s">
        <v>2</v>
      </c>
      <c r="Q3" s="226"/>
      <c r="R3" s="226"/>
      <c r="S3" s="226"/>
      <c r="T3" s="226"/>
      <c r="U3" s="226"/>
      <c r="V3" s="226"/>
      <c r="W3" s="282" t="str">
        <f>'单动-高速压机OP40'!W3:AC3</f>
        <v>左侧围</v>
      </c>
      <c r="X3" s="282"/>
      <c r="Y3" s="282"/>
      <c r="Z3" s="282"/>
      <c r="AA3" s="282"/>
      <c r="AB3" s="282"/>
      <c r="AC3" s="282"/>
      <c r="AD3" s="226" t="s">
        <v>83</v>
      </c>
      <c r="AE3" s="226"/>
      <c r="AF3" s="226"/>
      <c r="AG3" s="226"/>
      <c r="AH3" s="226"/>
      <c r="AI3" s="226"/>
      <c r="AJ3" s="226"/>
      <c r="AK3" s="226"/>
      <c r="AL3" s="283" t="str">
        <f>'单动-高速压机OP40'!AL3:AR3</f>
        <v>Polo NF</v>
      </c>
      <c r="AM3" s="284"/>
      <c r="AN3" s="284"/>
      <c r="AO3" s="284"/>
      <c r="AP3" s="284"/>
      <c r="AQ3" s="284"/>
      <c r="AR3" s="285"/>
      <c r="AS3" s="226" t="s">
        <v>3</v>
      </c>
      <c r="AT3" s="226"/>
      <c r="AU3" s="226"/>
      <c r="AV3" s="226"/>
      <c r="AW3" s="226"/>
      <c r="AX3" s="226"/>
      <c r="AY3" s="226"/>
      <c r="AZ3" s="282" t="s">
        <v>256</v>
      </c>
      <c r="BA3" s="282"/>
      <c r="BB3" s="282"/>
      <c r="BC3" s="282"/>
      <c r="BD3" s="282"/>
      <c r="BE3" s="282"/>
      <c r="BF3" s="286"/>
      <c r="BH3" s="17" t="s">
        <v>245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2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2" t="s">
        <v>81</v>
      </c>
      <c r="B5" s="243"/>
      <c r="C5" s="243"/>
      <c r="D5" s="243"/>
      <c r="E5" s="243"/>
      <c r="F5" s="243"/>
      <c r="G5" s="243"/>
      <c r="H5" s="244"/>
      <c r="I5" s="295" t="s">
        <v>283</v>
      </c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7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10" t="str">
        <f>IF($AZ$2=$BH$3,$BJ$3,$BJ$2)</f>
        <v>舒勒</v>
      </c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168"/>
      <c r="BE5" s="168"/>
      <c r="BF5" s="209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2" t="s">
        <v>7</v>
      </c>
      <c r="B6" s="243"/>
      <c r="C6" s="243"/>
      <c r="D6" s="243"/>
      <c r="E6" s="243"/>
      <c r="F6" s="243"/>
      <c r="G6" s="243"/>
      <c r="H6" s="244"/>
      <c r="I6" s="194" t="s">
        <v>269</v>
      </c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6"/>
      <c r="AC6" s="197"/>
      <c r="AD6" s="167" t="s">
        <v>78</v>
      </c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9"/>
      <c r="AS6" s="212">
        <v>12</v>
      </c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168" t="s">
        <v>115</v>
      </c>
      <c r="BE6" s="168"/>
      <c r="BF6" s="209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2" t="s">
        <v>77</v>
      </c>
      <c r="B7" s="243"/>
      <c r="C7" s="243"/>
      <c r="D7" s="243"/>
      <c r="E7" s="243"/>
      <c r="F7" s="243"/>
      <c r="G7" s="243"/>
      <c r="H7" s="244"/>
      <c r="I7" s="194">
        <v>38</v>
      </c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 t="s">
        <v>10</v>
      </c>
      <c r="AC7" s="197"/>
      <c r="AD7" s="167" t="s">
        <v>76</v>
      </c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9"/>
      <c r="AS7" s="212">
        <v>4</v>
      </c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168" t="s">
        <v>116</v>
      </c>
      <c r="BE7" s="168"/>
      <c r="BF7" s="209"/>
      <c r="BH7" s="17" t="s">
        <v>219</v>
      </c>
      <c r="BL7" s="17" t="s">
        <v>249</v>
      </c>
      <c r="BN7" s="95" t="s">
        <v>202</v>
      </c>
    </row>
    <row r="8" spans="1:70" ht="27" customHeight="1">
      <c r="A8" s="192" t="s">
        <v>75</v>
      </c>
      <c r="B8" s="193"/>
      <c r="C8" s="193"/>
      <c r="D8" s="193"/>
      <c r="E8" s="193"/>
      <c r="F8" s="193"/>
      <c r="G8" s="193"/>
      <c r="H8" s="193"/>
      <c r="I8" s="194">
        <v>19.5</v>
      </c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6" t="s">
        <v>10</v>
      </c>
      <c r="AC8" s="197"/>
      <c r="AD8" s="167" t="s">
        <v>74</v>
      </c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9"/>
      <c r="AS8" s="212">
        <v>6</v>
      </c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168" t="s">
        <v>118</v>
      </c>
      <c r="BE8" s="168"/>
      <c r="BF8" s="209"/>
      <c r="BH8" s="17" t="s">
        <v>220</v>
      </c>
      <c r="BL8" s="17" t="s">
        <v>139</v>
      </c>
      <c r="BN8" s="95" t="s">
        <v>203</v>
      </c>
    </row>
    <row r="9" spans="1:70" ht="27" customHeight="1">
      <c r="A9" s="198" t="s">
        <v>13</v>
      </c>
      <c r="B9" s="199"/>
      <c r="C9" s="199"/>
      <c r="D9" s="199"/>
      <c r="E9" s="199"/>
      <c r="F9" s="199"/>
      <c r="G9" s="199"/>
      <c r="H9" s="200"/>
      <c r="I9" s="201">
        <v>1375</v>
      </c>
      <c r="J9" s="202"/>
      <c r="K9" s="202"/>
      <c r="L9" s="202"/>
      <c r="M9" s="202"/>
      <c r="N9" s="202"/>
      <c r="O9" s="202"/>
      <c r="P9" s="202"/>
      <c r="Q9" s="202"/>
      <c r="R9" s="202"/>
      <c r="S9" s="214" t="s">
        <v>257</v>
      </c>
      <c r="T9" s="214"/>
      <c r="U9" s="214"/>
      <c r="V9" s="214"/>
      <c r="W9" s="214"/>
      <c r="X9" s="214"/>
      <c r="Y9" s="214"/>
      <c r="Z9" s="214"/>
      <c r="AA9" s="214"/>
      <c r="AB9" s="196" t="s">
        <v>114</v>
      </c>
      <c r="AC9" s="197"/>
      <c r="AD9" s="167" t="s">
        <v>72</v>
      </c>
      <c r="AE9" s="168"/>
      <c r="AF9" s="168" t="s">
        <v>56</v>
      </c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9"/>
      <c r="AS9" s="210" t="str">
        <f>IF(AND($AZ$2="6-300",$AZ$3="OP40"),"1800","1200")</f>
        <v>1200</v>
      </c>
      <c r="AT9" s="211"/>
      <c r="AU9" s="211"/>
      <c r="AV9" s="211"/>
      <c r="AW9" s="211"/>
      <c r="AX9" s="211"/>
      <c r="AY9" s="211"/>
      <c r="AZ9" s="211"/>
      <c r="BA9" s="211"/>
      <c r="BB9" s="211"/>
      <c r="BC9" s="211"/>
      <c r="BD9" s="168" t="s">
        <v>46</v>
      </c>
      <c r="BE9" s="168"/>
      <c r="BF9" s="209"/>
      <c r="BH9" s="17" t="s">
        <v>221</v>
      </c>
      <c r="BN9" s="95" t="s">
        <v>204</v>
      </c>
    </row>
    <row r="10" spans="1:70" ht="27" customHeight="1">
      <c r="A10" s="205" t="s">
        <v>70</v>
      </c>
      <c r="B10" s="206"/>
      <c r="C10" s="206"/>
      <c r="D10" s="206"/>
      <c r="E10" s="206"/>
      <c r="F10" s="206"/>
      <c r="G10" s="206"/>
      <c r="H10" s="207"/>
      <c r="I10" s="201">
        <v>1400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14"/>
      <c r="T10" s="214"/>
      <c r="U10" s="214"/>
      <c r="V10" s="214"/>
      <c r="W10" s="214"/>
      <c r="X10" s="214"/>
      <c r="Y10" s="214"/>
      <c r="Z10" s="214"/>
      <c r="AA10" s="214"/>
      <c r="AB10" s="196" t="s">
        <v>114</v>
      </c>
      <c r="AC10" s="197"/>
      <c r="AD10" s="167" t="s">
        <v>69</v>
      </c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9"/>
      <c r="AS10" s="167" t="s">
        <v>250</v>
      </c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 t="s">
        <v>215</v>
      </c>
      <c r="BE10" s="168"/>
      <c r="BF10" s="209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266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266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4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4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4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8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8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8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8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8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266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266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37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32</v>
      </c>
      <c r="M31" s="126" t="s">
        <v>267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32</v>
      </c>
      <c r="T31" s="126" t="s">
        <v>32</v>
      </c>
      <c r="U31" s="126" t="s">
        <v>32</v>
      </c>
      <c r="V31" s="126" t="s">
        <v>32</v>
      </c>
      <c r="W31" s="126" t="s">
        <v>32</v>
      </c>
      <c r="X31" s="126" t="s">
        <v>32</v>
      </c>
      <c r="Y31" s="126" t="s">
        <v>32</v>
      </c>
      <c r="Z31" s="126" t="s">
        <v>32</v>
      </c>
      <c r="AA31" s="126" t="s">
        <v>32</v>
      </c>
      <c r="AB31" s="126" t="s">
        <v>32</v>
      </c>
      <c r="AC31" s="126" t="s">
        <v>32</v>
      </c>
      <c r="AD31" s="126" t="s">
        <v>32</v>
      </c>
      <c r="AE31" s="126" t="s">
        <v>32</v>
      </c>
      <c r="AF31" s="126" t="s">
        <v>32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32</v>
      </c>
      <c r="M32" s="126" t="s">
        <v>267</v>
      </c>
      <c r="N32" s="126" t="s">
        <v>267</v>
      </c>
      <c r="O32" s="126" t="s">
        <v>32</v>
      </c>
      <c r="P32" s="126" t="s">
        <v>267</v>
      </c>
      <c r="Q32" s="126" t="s">
        <v>32</v>
      </c>
      <c r="R32" s="126" t="s">
        <v>267</v>
      </c>
      <c r="S32" s="126" t="s">
        <v>32</v>
      </c>
      <c r="T32" s="126" t="s">
        <v>267</v>
      </c>
      <c r="U32" s="126" t="s">
        <v>32</v>
      </c>
      <c r="V32" s="126" t="s">
        <v>267</v>
      </c>
      <c r="W32" s="126" t="s">
        <v>32</v>
      </c>
      <c r="X32" s="126" t="s">
        <v>267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32</v>
      </c>
      <c r="L33" s="126" t="s">
        <v>32</v>
      </c>
      <c r="M33" s="126" t="s">
        <v>32</v>
      </c>
      <c r="N33" s="126" t="s">
        <v>32</v>
      </c>
      <c r="O33" s="126" t="s">
        <v>32</v>
      </c>
      <c r="P33" s="126" t="s">
        <v>32</v>
      </c>
      <c r="Q33" s="126" t="s">
        <v>32</v>
      </c>
      <c r="R33" s="126" t="s">
        <v>32</v>
      </c>
      <c r="S33" s="126" t="s">
        <v>267</v>
      </c>
      <c r="T33" s="126" t="s">
        <v>32</v>
      </c>
      <c r="U33" s="126" t="s">
        <v>32</v>
      </c>
      <c r="V33" s="126" t="s">
        <v>32</v>
      </c>
      <c r="W33" s="126" t="s">
        <v>32</v>
      </c>
      <c r="X33" s="126" t="s">
        <v>267</v>
      </c>
      <c r="Y33" s="126" t="s">
        <v>32</v>
      </c>
      <c r="Z33" s="126" t="s">
        <v>32</v>
      </c>
      <c r="AA33" s="126" t="s">
        <v>267</v>
      </c>
      <c r="AB33" s="126" t="s">
        <v>32</v>
      </c>
      <c r="AC33" s="126" t="s">
        <v>32</v>
      </c>
      <c r="AD33" s="126" t="s">
        <v>32</v>
      </c>
      <c r="AE33" s="126" t="s">
        <v>32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267</v>
      </c>
      <c r="M34" s="126" t="s">
        <v>32</v>
      </c>
      <c r="N34" s="126" t="s">
        <v>32</v>
      </c>
      <c r="O34" s="126" t="s">
        <v>32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32</v>
      </c>
      <c r="U34" s="126" t="s">
        <v>32</v>
      </c>
      <c r="V34" s="126" t="s">
        <v>32</v>
      </c>
      <c r="W34" s="126" t="s">
        <v>32</v>
      </c>
      <c r="X34" s="126" t="s">
        <v>32</v>
      </c>
      <c r="Y34" s="126" t="s">
        <v>267</v>
      </c>
      <c r="Z34" s="126" t="s">
        <v>32</v>
      </c>
      <c r="AA34" s="126" t="s">
        <v>32</v>
      </c>
      <c r="AB34" s="126" t="s">
        <v>32</v>
      </c>
      <c r="AC34" s="126" t="s">
        <v>32</v>
      </c>
      <c r="AD34" s="126" t="s">
        <v>32</v>
      </c>
      <c r="AE34" s="126" t="s">
        <v>32</v>
      </c>
      <c r="AF34" s="126" t="s">
        <v>32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32</v>
      </c>
      <c r="K35" s="126" t="s">
        <v>32</v>
      </c>
      <c r="L35" s="126" t="s">
        <v>32</v>
      </c>
      <c r="M35" s="126" t="s">
        <v>32</v>
      </c>
      <c r="N35" s="126" t="s">
        <v>267</v>
      </c>
      <c r="O35" s="126" t="s">
        <v>32</v>
      </c>
      <c r="P35" s="126" t="s">
        <v>32</v>
      </c>
      <c r="Q35" s="126" t="s">
        <v>267</v>
      </c>
      <c r="R35" s="126" t="s">
        <v>32</v>
      </c>
      <c r="S35" s="126" t="s">
        <v>32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267</v>
      </c>
      <c r="Y35" s="126" t="s">
        <v>32</v>
      </c>
      <c r="Z35" s="126" t="s">
        <v>267</v>
      </c>
      <c r="AA35" s="126" t="s">
        <v>267</v>
      </c>
      <c r="AB35" s="126" t="s">
        <v>267</v>
      </c>
      <c r="AC35" s="126" t="s">
        <v>267</v>
      </c>
      <c r="AD35" s="126" t="s">
        <v>32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267</v>
      </c>
      <c r="M36" s="126" t="s">
        <v>32</v>
      </c>
      <c r="N36" s="126" t="s">
        <v>267</v>
      </c>
      <c r="O36" s="126" t="s">
        <v>32</v>
      </c>
      <c r="P36" s="126" t="s">
        <v>32</v>
      </c>
      <c r="Q36" s="126" t="s">
        <v>32</v>
      </c>
      <c r="R36" s="126" t="s">
        <v>267</v>
      </c>
      <c r="S36" s="126" t="s">
        <v>32</v>
      </c>
      <c r="T36" s="126" t="s">
        <v>32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32</v>
      </c>
      <c r="AA36" s="126" t="s">
        <v>32</v>
      </c>
      <c r="AB36" s="126" t="s">
        <v>267</v>
      </c>
      <c r="AC36" s="126" t="s">
        <v>32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32</v>
      </c>
      <c r="N37" s="126" t="s">
        <v>32</v>
      </c>
      <c r="O37" s="126" t="s">
        <v>32</v>
      </c>
      <c r="P37" s="126" t="s">
        <v>267</v>
      </c>
      <c r="Q37" s="126" t="s">
        <v>32</v>
      </c>
      <c r="R37" s="126" t="s">
        <v>32</v>
      </c>
      <c r="S37" s="126" t="s">
        <v>32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267</v>
      </c>
      <c r="Y37" s="126" t="s">
        <v>32</v>
      </c>
      <c r="Z37" s="126" t="s">
        <v>32</v>
      </c>
      <c r="AA37" s="126" t="s">
        <v>267</v>
      </c>
      <c r="AB37" s="126" t="s">
        <v>32</v>
      </c>
      <c r="AC37" s="126" t="s">
        <v>267</v>
      </c>
      <c r="AD37" s="126" t="s">
        <v>267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32</v>
      </c>
      <c r="P38" s="126" t="s">
        <v>32</v>
      </c>
      <c r="Q38" s="126" t="s">
        <v>32</v>
      </c>
      <c r="R38" s="126" t="s">
        <v>32</v>
      </c>
      <c r="S38" s="126" t="s">
        <v>267</v>
      </c>
      <c r="T38" s="126" t="s">
        <v>32</v>
      </c>
      <c r="U38" s="126" t="s">
        <v>267</v>
      </c>
      <c r="V38" s="126" t="s">
        <v>32</v>
      </c>
      <c r="W38" s="126" t="s">
        <v>32</v>
      </c>
      <c r="X38" s="126" t="s">
        <v>32</v>
      </c>
      <c r="Y38" s="126" t="s">
        <v>32</v>
      </c>
      <c r="Z38" s="126" t="s">
        <v>32</v>
      </c>
      <c r="AA38" s="126" t="s">
        <v>32</v>
      </c>
      <c r="AB38" s="126" t="s">
        <v>267</v>
      </c>
      <c r="AC38" s="126" t="s">
        <v>32</v>
      </c>
      <c r="AD38" s="126" t="s">
        <v>32</v>
      </c>
      <c r="AE38" s="126" t="s">
        <v>32</v>
      </c>
      <c r="AF38" s="126" t="s">
        <v>32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32</v>
      </c>
      <c r="K39" s="126" t="s">
        <v>32</v>
      </c>
      <c r="L39" s="126" t="s">
        <v>32</v>
      </c>
      <c r="M39" s="126" t="s">
        <v>32</v>
      </c>
      <c r="N39" s="126" t="s">
        <v>32</v>
      </c>
      <c r="O39" s="126" t="s">
        <v>267</v>
      </c>
      <c r="P39" s="126" t="s">
        <v>32</v>
      </c>
      <c r="Q39" s="126" t="s">
        <v>32</v>
      </c>
      <c r="R39" s="126" t="s">
        <v>267</v>
      </c>
      <c r="S39" s="126" t="s">
        <v>32</v>
      </c>
      <c r="T39" s="126" t="s">
        <v>32</v>
      </c>
      <c r="U39" s="126" t="s">
        <v>32</v>
      </c>
      <c r="V39" s="126" t="s">
        <v>267</v>
      </c>
      <c r="W39" s="126" t="s">
        <v>32</v>
      </c>
      <c r="X39" s="126" t="s">
        <v>267</v>
      </c>
      <c r="Y39" s="126" t="s">
        <v>32</v>
      </c>
      <c r="Z39" s="126" t="s">
        <v>267</v>
      </c>
      <c r="AA39" s="126" t="s">
        <v>267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32</v>
      </c>
      <c r="S40" s="126" t="s">
        <v>267</v>
      </c>
      <c r="T40" s="126" t="s">
        <v>32</v>
      </c>
      <c r="U40" s="126" t="s">
        <v>267</v>
      </c>
      <c r="V40" s="126" t="s">
        <v>32</v>
      </c>
      <c r="W40" s="126" t="s">
        <v>32</v>
      </c>
      <c r="X40" s="126" t="s">
        <v>32</v>
      </c>
      <c r="Y40" s="126" t="s">
        <v>267</v>
      </c>
      <c r="Z40" s="126" t="s">
        <v>267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5">
        <v>47</v>
      </c>
      <c r="BA41" s="276"/>
      <c r="BB41" s="276"/>
      <c r="BC41" s="276"/>
      <c r="BD41" s="276"/>
      <c r="BE41" s="276"/>
      <c r="BF41" s="277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78"/>
      <c r="BA42" s="279"/>
      <c r="BB42" s="279"/>
      <c r="BC42" s="279"/>
      <c r="BD42" s="279"/>
      <c r="BE42" s="279"/>
      <c r="BF42" s="280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8"/>
      <c r="AZ43" s="275">
        <v>1000</v>
      </c>
      <c r="BA43" s="276"/>
      <c r="BB43" s="276"/>
      <c r="BC43" s="276"/>
      <c r="BD43" s="276"/>
      <c r="BE43" s="276"/>
      <c r="BF43" s="277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9" t="str">
        <f>IF(AZ2="7-200","（± 0.2Mpa）"," （± 50KN）")</f>
        <v xml:space="preserve"> （± 50KN）</v>
      </c>
      <c r="AT44" s="190"/>
      <c r="AU44" s="190"/>
      <c r="AV44" s="190"/>
      <c r="AW44" s="190"/>
      <c r="AX44" s="190"/>
      <c r="AY44" s="191"/>
      <c r="AZ44" s="278"/>
      <c r="BA44" s="279"/>
      <c r="BB44" s="279"/>
      <c r="BC44" s="279"/>
      <c r="BD44" s="279"/>
      <c r="BE44" s="279"/>
      <c r="BF44" s="280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34"/>
      <c r="BC45" s="56"/>
      <c r="BD45" s="56"/>
      <c r="BE45" s="56"/>
      <c r="BF45" s="57"/>
    </row>
    <row r="46" spans="1:58" ht="19.149999999999999" customHeight="1">
      <c r="A46" s="133" t="s">
        <v>59</v>
      </c>
      <c r="B46" s="51"/>
      <c r="C46" s="50"/>
      <c r="D46" s="155" t="str">
        <f>'单动-高速压机OP40'!D46:N46</f>
        <v>2SD 809 605</v>
      </c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281" t="s">
        <v>137</v>
      </c>
      <c r="P46" s="281"/>
      <c r="Q46" s="281"/>
      <c r="R46" s="281"/>
      <c r="S46" s="281"/>
      <c r="T46" s="281"/>
      <c r="U46" s="281"/>
      <c r="V46" s="59"/>
      <c r="W46" s="127"/>
      <c r="X46" s="59"/>
      <c r="Y46" s="59"/>
      <c r="Z46" s="59"/>
      <c r="AA46" s="59"/>
      <c r="AB46" s="59"/>
      <c r="AC46" s="60"/>
      <c r="AD46" s="136" t="s">
        <v>238</v>
      </c>
      <c r="AE46" s="134"/>
      <c r="AF46" s="134"/>
      <c r="AG46" s="134"/>
      <c r="AH46" s="13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34"/>
      <c r="AS46" s="134"/>
      <c r="AT46" s="22"/>
      <c r="AU46" s="134"/>
      <c r="AV46" s="134"/>
      <c r="AW46" s="51"/>
      <c r="AX46" s="134"/>
      <c r="AY46" s="51"/>
      <c r="AZ46" s="20"/>
      <c r="BA46" s="20"/>
      <c r="BB46" s="134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155" t="str">
        <f>D46</f>
        <v>2SD 809 605</v>
      </c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281" t="s">
        <v>138</v>
      </c>
      <c r="P47" s="281"/>
      <c r="Q47" s="281"/>
      <c r="R47" s="281"/>
      <c r="S47" s="281"/>
      <c r="T47" s="281"/>
      <c r="U47" s="281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34"/>
      <c r="AS47" s="134"/>
      <c r="AT47" s="22"/>
      <c r="AU47" s="134"/>
      <c r="AV47" s="134"/>
      <c r="AW47" s="51"/>
      <c r="AX47" s="134"/>
      <c r="AY47" s="51"/>
      <c r="AZ47" s="20"/>
      <c r="BA47" s="20"/>
      <c r="BB47" s="134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35"/>
      <c r="AE48" s="134"/>
      <c r="AF48" s="134"/>
      <c r="AG48" s="134"/>
      <c r="AH48" s="134"/>
      <c r="AI48" s="134"/>
      <c r="AJ48" s="22"/>
      <c r="AK48" s="134"/>
      <c r="AL48" s="134"/>
      <c r="AM48" s="134"/>
      <c r="AN48" s="134"/>
      <c r="AO48" s="134"/>
      <c r="AP48" s="134"/>
      <c r="AQ48" s="134"/>
      <c r="AR48" s="134"/>
      <c r="AS48" s="134"/>
      <c r="AT48" s="22"/>
      <c r="AU48" s="134"/>
      <c r="AV48" s="134"/>
      <c r="AW48" s="51"/>
      <c r="AX48" s="134"/>
      <c r="AY48" s="51"/>
      <c r="AZ48" s="20"/>
      <c r="BA48" s="20"/>
      <c r="BB48" s="134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235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34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70" t="s">
        <v>27</v>
      </c>
      <c r="AE53" s="170"/>
      <c r="AF53" s="170"/>
      <c r="AG53" s="170"/>
      <c r="AH53" s="170"/>
      <c r="AI53" s="170"/>
      <c r="AJ53" s="170"/>
      <c r="AK53" s="170"/>
      <c r="AL53" s="287" t="s">
        <v>258</v>
      </c>
      <c r="AM53" s="287"/>
      <c r="AN53" s="287"/>
      <c r="AO53" s="287"/>
      <c r="AP53" s="287"/>
      <c r="AQ53" s="287"/>
      <c r="AR53" s="287"/>
      <c r="AS53" s="170" t="s">
        <v>28</v>
      </c>
      <c r="AT53" s="170"/>
      <c r="AU53" s="170"/>
      <c r="AV53" s="170"/>
      <c r="AW53" s="170"/>
      <c r="AX53" s="170"/>
      <c r="AY53" s="170"/>
      <c r="AZ53" s="288" t="s">
        <v>259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70"/>
      <c r="AE54" s="170"/>
      <c r="AF54" s="170"/>
      <c r="AG54" s="170"/>
      <c r="AH54" s="170"/>
      <c r="AI54" s="170"/>
      <c r="AJ54" s="170"/>
      <c r="AK54" s="170"/>
      <c r="AL54" s="287"/>
      <c r="AM54" s="287"/>
      <c r="AN54" s="287"/>
      <c r="AO54" s="287"/>
      <c r="AP54" s="287"/>
      <c r="AQ54" s="287"/>
      <c r="AR54" s="287"/>
      <c r="AS54" s="170"/>
      <c r="AT54" s="170"/>
      <c r="AU54" s="170"/>
      <c r="AV54" s="170"/>
      <c r="AW54" s="170"/>
      <c r="AX54" s="170"/>
      <c r="AY54" s="170"/>
      <c r="AZ54" s="278"/>
      <c r="BA54" s="279"/>
      <c r="BB54" s="279"/>
      <c r="BC54" s="279"/>
      <c r="BD54" s="279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5"/>
      <c r="F55" s="235"/>
      <c r="G55" s="235"/>
      <c r="H55" s="23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5"/>
      <c r="Y55" s="235"/>
      <c r="Z55" s="235"/>
      <c r="AA55" s="235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5"/>
      <c r="AS55" s="235"/>
      <c r="AT55" s="235"/>
      <c r="AU55" s="235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272</v>
      </c>
    </row>
  </sheetData>
  <sheetProtection selectLockedCells="1"/>
  <protectedRanges>
    <protectedRange sqref="AZ1:BF1 I3 W3 AL3 I6:AA8 I9:I10 AS5:BC10 AZ42:AZ43 AL53 AZ53 AD45:BF45 AX12 BA29 AD47:BF52 AK46:BF46 H12:AH26 AZ3:BF3 H30:AH43" name="区域1"/>
    <protectedRange sqref="AZ2:BF2" name="区域1_1"/>
    <protectedRange sqref="I5:AC5" name="区域1_6"/>
  </protectedRanges>
  <mergeCells count="105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AD5:AR5"/>
    <mergeCell ref="AS5:BC5"/>
    <mergeCell ref="BD5:BF5"/>
    <mergeCell ref="I5:AC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351" priority="104">
      <formula>AND($AZ$2&lt;&gt;"4-100")</formula>
    </cfRule>
  </conditionalFormatting>
  <conditionalFormatting sqref="O18:R18">
    <cfRule type="expression" dxfId="350" priority="103">
      <formula>AND($AZ$2&lt;&gt;"4-100")</formula>
    </cfRule>
  </conditionalFormatting>
  <conditionalFormatting sqref="S18">
    <cfRule type="expression" dxfId="349" priority="102">
      <formula>AND($AZ$2&lt;&gt;"4-100")</formula>
    </cfRule>
  </conditionalFormatting>
  <conditionalFormatting sqref="N19">
    <cfRule type="expression" dxfId="348" priority="101">
      <formula>AND($AZ$2&lt;&gt;"4-100")</formula>
    </cfRule>
  </conditionalFormatting>
  <conditionalFormatting sqref="N20">
    <cfRule type="expression" dxfId="347" priority="100">
      <formula>AND($AZ$2&lt;&gt;"4-100")</formula>
    </cfRule>
  </conditionalFormatting>
  <conditionalFormatting sqref="O20:R20">
    <cfRule type="expression" dxfId="346" priority="99">
      <formula>AND($AZ$2&lt;&gt;"4-100")</formula>
    </cfRule>
  </conditionalFormatting>
  <conditionalFormatting sqref="S20">
    <cfRule type="expression" dxfId="345" priority="98">
      <formula>AND($AZ$2&lt;&gt;"4-100")</formula>
    </cfRule>
  </conditionalFormatting>
  <conditionalFormatting sqref="S19">
    <cfRule type="expression" dxfId="344" priority="97">
      <formula>AND($AZ$2&lt;&gt;"4-100")</formula>
    </cfRule>
  </conditionalFormatting>
  <conditionalFormatting sqref="W18">
    <cfRule type="expression" dxfId="343" priority="96">
      <formula>AND($AZ$2&lt;&gt;"4-100")</formula>
    </cfRule>
  </conditionalFormatting>
  <conditionalFormatting sqref="X18:AA18">
    <cfRule type="expression" dxfId="342" priority="95">
      <formula>AND($AZ$2&lt;&gt;"4-100")</formula>
    </cfRule>
  </conditionalFormatting>
  <conditionalFormatting sqref="AB18">
    <cfRule type="expression" dxfId="341" priority="94">
      <formula>AND($AZ$2&lt;&gt;"4-100")</formula>
    </cfRule>
  </conditionalFormatting>
  <conditionalFormatting sqref="W19">
    <cfRule type="expression" dxfId="340" priority="93">
      <formula>AND($AZ$2&lt;&gt;"4-100")</formula>
    </cfRule>
  </conditionalFormatting>
  <conditionalFormatting sqref="W20">
    <cfRule type="expression" dxfId="339" priority="92">
      <formula>AND($AZ$2&lt;&gt;"4-100")</formula>
    </cfRule>
  </conditionalFormatting>
  <conditionalFormatting sqref="X20:AA20">
    <cfRule type="expression" dxfId="338" priority="91">
      <formula>AND($AZ$2&lt;&gt;"4-100")</formula>
    </cfRule>
  </conditionalFormatting>
  <conditionalFormatting sqref="AB20">
    <cfRule type="expression" dxfId="337" priority="90">
      <formula>AND($AZ$2&lt;&gt;"4-100")</formula>
    </cfRule>
  </conditionalFormatting>
  <conditionalFormatting sqref="AB19">
    <cfRule type="expression" dxfId="336" priority="89">
      <formula>AND($AZ$2&lt;&gt;"4-100")</formula>
    </cfRule>
  </conditionalFormatting>
  <conditionalFormatting sqref="H30:AH43">
    <cfRule type="expression" dxfId="335" priority="88">
      <formula>AND(H30=$BI$4)</formula>
    </cfRule>
  </conditionalFormatting>
  <conditionalFormatting sqref="J13">
    <cfRule type="expression" dxfId="334" priority="84">
      <formula>J13=""</formula>
    </cfRule>
    <cfRule type="expression" dxfId="333" priority="87">
      <formula>AND(J13=$BI$2)</formula>
    </cfRule>
  </conditionalFormatting>
  <conditionalFormatting sqref="K13">
    <cfRule type="expression" dxfId="332" priority="47">
      <formula>K13=""</formula>
    </cfRule>
    <cfRule type="expression" dxfId="331" priority="86">
      <formula>AND(K13=$BI$2)</formula>
    </cfRule>
  </conditionalFormatting>
  <conditionalFormatting sqref="I6:AA8 I3:O3 W3:AC3 AS6:BC8 I9:R10">
    <cfRule type="containsBlanks" dxfId="330" priority="107">
      <formula>LEN(TRIM(I3))=0</formula>
    </cfRule>
  </conditionalFormatting>
  <conditionalFormatting sqref="AL3:AR3">
    <cfRule type="containsBlanks" dxfId="329" priority="106">
      <formula>LEN(TRIM(AL3))=0</formula>
    </cfRule>
  </conditionalFormatting>
  <conditionalFormatting sqref="AZ1:BF1">
    <cfRule type="containsBlanks" dxfId="328" priority="105">
      <formula>LEN(TRIM(AZ1))=0</formula>
    </cfRule>
  </conditionalFormatting>
  <conditionalFormatting sqref="AZ3:BF3">
    <cfRule type="containsBlanks" dxfId="327" priority="109">
      <formula>LEN(TRIM(AZ3))=0</formula>
    </cfRule>
  </conditionalFormatting>
  <conditionalFormatting sqref="AZ41">
    <cfRule type="containsBlanks" dxfId="326" priority="110">
      <formula>LEN(TRIM(AZ41))=0</formula>
    </cfRule>
  </conditionalFormatting>
  <conditionalFormatting sqref="AZ43">
    <cfRule type="containsBlanks" dxfId="325" priority="111">
      <formula>LEN(TRIM(AZ43))=0</formula>
    </cfRule>
  </conditionalFormatting>
  <conditionalFormatting sqref="D46:N46">
    <cfRule type="containsBlanks" dxfId="324" priority="112">
      <formula>LEN(TRIM(D46))=0</formula>
    </cfRule>
  </conditionalFormatting>
  <conditionalFormatting sqref="O46:U46">
    <cfRule type="containsBlanks" dxfId="323" priority="114">
      <formula>LEN(TRIM(O46))=0</formula>
    </cfRule>
  </conditionalFormatting>
  <conditionalFormatting sqref="O47:U47">
    <cfRule type="containsBlanks" dxfId="322" priority="115">
      <formula>LEN(TRIM(O47))=0</formula>
    </cfRule>
  </conditionalFormatting>
  <conditionalFormatting sqref="D47:N47">
    <cfRule type="containsBlanks" dxfId="321" priority="113">
      <formula>LEN(TRIM(D47))=0</formula>
    </cfRule>
  </conditionalFormatting>
  <conditionalFormatting sqref="D51:AB51">
    <cfRule type="containsBlanks" dxfId="320" priority="116">
      <formula>LEN(TRIM(D51))=0</formula>
    </cfRule>
  </conditionalFormatting>
  <conditionalFormatting sqref="AI46">
    <cfRule type="containsBlanks" dxfId="319" priority="119">
      <formula>LEN(TRIM(AI46))=0</formula>
    </cfRule>
  </conditionalFormatting>
  <conditionalFormatting sqref="AL53:AR54">
    <cfRule type="containsBlanks" dxfId="318" priority="117">
      <formula>LEN(TRIM(AL53))=0</formula>
    </cfRule>
  </conditionalFormatting>
  <conditionalFormatting sqref="AZ53:BD54">
    <cfRule type="containsBlanks" dxfId="317" priority="118">
      <formula>LEN(TRIM(AZ53))=0</formula>
    </cfRule>
  </conditionalFormatting>
  <conditionalFormatting sqref="H30:AH42">
    <cfRule type="expression" dxfId="316" priority="85">
      <formula>H30=""</formula>
    </cfRule>
  </conditionalFormatting>
  <conditionalFormatting sqref="J14">
    <cfRule type="expression" dxfId="315" priority="82">
      <formula>J14=""</formula>
    </cfRule>
    <cfRule type="expression" dxfId="314" priority="83">
      <formula>AND(J14=$BI$2)</formula>
    </cfRule>
  </conditionalFormatting>
  <conditionalFormatting sqref="J24">
    <cfRule type="expression" dxfId="313" priority="80">
      <formula>J24=""</formula>
    </cfRule>
    <cfRule type="expression" dxfId="312" priority="81">
      <formula>AND(J24=$BI$2)</formula>
    </cfRule>
  </conditionalFormatting>
  <conditionalFormatting sqref="J25">
    <cfRule type="expression" dxfId="311" priority="78">
      <formula>J25=""</formula>
    </cfRule>
    <cfRule type="expression" dxfId="310" priority="79">
      <formula>AND(J25=$BI$2)</formula>
    </cfRule>
  </conditionalFormatting>
  <conditionalFormatting sqref="L13">
    <cfRule type="expression" dxfId="309" priority="76">
      <formula>L13=""</formula>
    </cfRule>
    <cfRule type="expression" dxfId="308" priority="77">
      <formula>AND(L13=$BI$2)</formula>
    </cfRule>
  </conditionalFormatting>
  <conditionalFormatting sqref="P13">
    <cfRule type="expression" dxfId="307" priority="74">
      <formula>P13=""</formula>
    </cfRule>
    <cfRule type="expression" dxfId="306" priority="75">
      <formula>AND(P13=$BI$2)</formula>
    </cfRule>
  </conditionalFormatting>
  <conditionalFormatting sqref="P14">
    <cfRule type="expression" dxfId="305" priority="72">
      <formula>P14=""</formula>
    </cfRule>
    <cfRule type="expression" dxfId="304" priority="73">
      <formula>AND(P14=$BI$2)</formula>
    </cfRule>
  </conditionalFormatting>
  <conditionalFormatting sqref="P24">
    <cfRule type="expression" dxfId="303" priority="70">
      <formula>P24=""</formula>
    </cfRule>
    <cfRule type="expression" dxfId="302" priority="71">
      <formula>AND(P24=$BI$2)</formula>
    </cfRule>
  </conditionalFormatting>
  <conditionalFormatting sqref="P25">
    <cfRule type="expression" dxfId="301" priority="68">
      <formula>P25=""</formula>
    </cfRule>
    <cfRule type="expression" dxfId="300" priority="69">
      <formula>AND(P25=$BI$2)</formula>
    </cfRule>
  </conditionalFormatting>
  <conditionalFormatting sqref="L25">
    <cfRule type="expression" dxfId="299" priority="66">
      <formula>L25=""</formula>
    </cfRule>
    <cfRule type="expression" dxfId="298" priority="67">
      <formula>AND(L25=$BI$2)</formula>
    </cfRule>
  </conditionalFormatting>
  <conditionalFormatting sqref="T14">
    <cfRule type="expression" dxfId="297" priority="64">
      <formula>T14=""</formula>
    </cfRule>
    <cfRule type="expression" dxfId="296" priority="65">
      <formula>AND(T14=$BI$2)</formula>
    </cfRule>
  </conditionalFormatting>
  <conditionalFormatting sqref="T24">
    <cfRule type="expression" dxfId="295" priority="62">
      <formula>T24=""</formula>
    </cfRule>
    <cfRule type="expression" dxfId="294" priority="63">
      <formula>AND(T24=$BI$2)</formula>
    </cfRule>
  </conditionalFormatting>
  <conditionalFormatting sqref="AA13">
    <cfRule type="expression" dxfId="293" priority="60">
      <formula>AA13=""</formula>
    </cfRule>
    <cfRule type="expression" dxfId="292" priority="61">
      <formula>AND(AA13=$BI$2)</formula>
    </cfRule>
  </conditionalFormatting>
  <conditionalFormatting sqref="AC12">
    <cfRule type="expression" dxfId="291" priority="6">
      <formula>$AZ$2&lt;&gt;"6-300"</formula>
    </cfRule>
    <cfRule type="expression" dxfId="290" priority="58">
      <formula>AC12=""</formula>
    </cfRule>
    <cfRule type="expression" dxfId="289" priority="59">
      <formula>AND(AC12=$BI$2)</formula>
    </cfRule>
  </conditionalFormatting>
  <conditionalFormatting sqref="AC13">
    <cfRule type="expression" dxfId="288" priority="56">
      <formula>AC13=""</formula>
    </cfRule>
    <cfRule type="expression" dxfId="287" priority="57">
      <formula>AND(AC13=$BI$2)</formula>
    </cfRule>
  </conditionalFormatting>
  <conditionalFormatting sqref="AE13">
    <cfRule type="expression" dxfId="286" priority="54">
      <formula>AE13=""</formula>
    </cfRule>
    <cfRule type="expression" dxfId="285" priority="55">
      <formula>AND(AE13=$BI$2)</formula>
    </cfRule>
  </conditionalFormatting>
  <conditionalFormatting sqref="AC25">
    <cfRule type="expression" dxfId="284" priority="52">
      <formula>AC25=""</formula>
    </cfRule>
    <cfRule type="expression" dxfId="283" priority="53">
      <formula>AND(AC25=$BI$2)</formula>
    </cfRule>
  </conditionalFormatting>
  <conditionalFormatting sqref="AE25">
    <cfRule type="expression" dxfId="282" priority="50">
      <formula>AE25=""</formula>
    </cfRule>
    <cfRule type="expression" dxfId="281" priority="51">
      <formula>AND(AE25=$BI$2)</formula>
    </cfRule>
  </conditionalFormatting>
  <conditionalFormatting sqref="AA25">
    <cfRule type="expression" dxfId="280" priority="48">
      <formula>AA25=""</formula>
    </cfRule>
    <cfRule type="expression" dxfId="279" priority="49">
      <formula>AND(AA25=$BI$2)</formula>
    </cfRule>
  </conditionalFormatting>
  <conditionalFormatting sqref="K25">
    <cfRule type="expression" dxfId="278" priority="45">
      <formula>K25=""</formula>
    </cfRule>
    <cfRule type="expression" dxfId="277" priority="46">
      <formula>AND(K25=$BI$2)</formula>
    </cfRule>
  </conditionalFormatting>
  <conditionalFormatting sqref="M12">
    <cfRule type="expression" dxfId="276" priority="10">
      <formula>$AZ$2&lt;&gt;"6-300"</formula>
    </cfRule>
    <cfRule type="expression" dxfId="275" priority="43">
      <formula>M12=""</formula>
    </cfRule>
    <cfRule type="expression" dxfId="274" priority="44">
      <formula>AND(M12=$BI$2)</formula>
    </cfRule>
  </conditionalFormatting>
  <conditionalFormatting sqref="M13">
    <cfRule type="expression" dxfId="273" priority="41">
      <formula>M13=""</formula>
    </cfRule>
    <cfRule type="expression" dxfId="272" priority="42">
      <formula>AND(M13=$BI$2)</formula>
    </cfRule>
  </conditionalFormatting>
  <conditionalFormatting sqref="M25">
    <cfRule type="expression" dxfId="271" priority="39">
      <formula>M25=""</formula>
    </cfRule>
    <cfRule type="expression" dxfId="270" priority="40">
      <formula>AND(M25=$BI$2)</formula>
    </cfRule>
  </conditionalFormatting>
  <conditionalFormatting sqref="O13">
    <cfRule type="expression" dxfId="269" priority="37">
      <formula>O13=""</formula>
    </cfRule>
    <cfRule type="expression" dxfId="268" priority="38">
      <formula>AND(O13=$BI$2)</formula>
    </cfRule>
  </conditionalFormatting>
  <conditionalFormatting sqref="O25">
    <cfRule type="expression" dxfId="267" priority="35">
      <formula>O25=""</formula>
    </cfRule>
    <cfRule type="expression" dxfId="266" priority="36">
      <formula>AND(O25=$BI$2)</formula>
    </cfRule>
  </conditionalFormatting>
  <conditionalFormatting sqref="V14">
    <cfRule type="expression" dxfId="265" priority="33">
      <formula>V14=""</formula>
    </cfRule>
    <cfRule type="expression" dxfId="264" priority="34">
      <formula>AND(V14=$BI$2)</formula>
    </cfRule>
  </conditionalFormatting>
  <conditionalFormatting sqref="V24">
    <cfRule type="expression" dxfId="263" priority="31">
      <formula>V24=""</formula>
    </cfRule>
    <cfRule type="expression" dxfId="262" priority="32">
      <formula>AND(V24=$BI$2)</formula>
    </cfRule>
  </conditionalFormatting>
  <conditionalFormatting sqref="Z13">
    <cfRule type="expression" dxfId="261" priority="29">
      <formula>Z13=""</formula>
    </cfRule>
    <cfRule type="expression" dxfId="260" priority="30">
      <formula>AND(Z13=$BI$2)</formula>
    </cfRule>
  </conditionalFormatting>
  <conditionalFormatting sqref="Z14">
    <cfRule type="expression" dxfId="259" priority="27">
      <formula>Z14=""</formula>
    </cfRule>
    <cfRule type="expression" dxfId="258" priority="28">
      <formula>AND(Z14=$BI$2)</formula>
    </cfRule>
  </conditionalFormatting>
  <conditionalFormatting sqref="Z24">
    <cfRule type="expression" dxfId="257" priority="25">
      <formula>Z24=""</formula>
    </cfRule>
    <cfRule type="expression" dxfId="256" priority="26">
      <formula>AND(Z24=$BI$2)</formula>
    </cfRule>
  </conditionalFormatting>
  <conditionalFormatting sqref="Z25">
    <cfRule type="expression" dxfId="255" priority="23">
      <formula>Z25=""</formula>
    </cfRule>
    <cfRule type="expression" dxfId="254" priority="24">
      <formula>AND(Z25=$BI$2)</formula>
    </cfRule>
  </conditionalFormatting>
  <conditionalFormatting sqref="AD13">
    <cfRule type="expression" dxfId="253" priority="21">
      <formula>AD13=""</formula>
    </cfRule>
    <cfRule type="expression" dxfId="252" priority="22">
      <formula>AND(AD13=$BI$2)</formula>
    </cfRule>
  </conditionalFormatting>
  <conditionalFormatting sqref="AD25">
    <cfRule type="expression" dxfId="251" priority="19">
      <formula>AD25=""</formula>
    </cfRule>
    <cfRule type="expression" dxfId="250" priority="20">
      <formula>AND(AD25=$BI$2)</formula>
    </cfRule>
  </conditionalFormatting>
  <conditionalFormatting sqref="AF13">
    <cfRule type="expression" dxfId="249" priority="17">
      <formula>AF13=""</formula>
    </cfRule>
    <cfRule type="expression" dxfId="248" priority="18">
      <formula>AND(AF13=$BI$2)</formula>
    </cfRule>
  </conditionalFormatting>
  <conditionalFormatting sqref="AF14">
    <cfRule type="expression" dxfId="247" priority="15">
      <formula>AF14=""</formula>
    </cfRule>
    <cfRule type="expression" dxfId="246" priority="16">
      <formula>AND(AF14=$BI$2)</formula>
    </cfRule>
  </conditionalFormatting>
  <conditionalFormatting sqref="AF24">
    <cfRule type="expression" dxfId="245" priority="13">
      <formula>AF24=""</formula>
    </cfRule>
    <cfRule type="expression" dxfId="244" priority="14">
      <formula>AND(AF24=$BI$2)</formula>
    </cfRule>
  </conditionalFormatting>
  <conditionalFormatting sqref="AF25">
    <cfRule type="expression" dxfId="243" priority="11">
      <formula>AF25=""</formula>
    </cfRule>
    <cfRule type="expression" dxfId="242" priority="12">
      <formula>AND(AF25=$BI$2)</formula>
    </cfRule>
  </conditionalFormatting>
  <conditionalFormatting sqref="M26">
    <cfRule type="expression" dxfId="241" priority="7">
      <formula>$AZ$2&lt;&gt;"6-300"</formula>
    </cfRule>
    <cfRule type="expression" dxfId="240" priority="8">
      <formula>M26=""</formula>
    </cfRule>
    <cfRule type="expression" dxfId="239" priority="9">
      <formula>AND(M26=$BI$2)</formula>
    </cfRule>
  </conditionalFormatting>
  <conditionalFormatting sqref="AC26">
    <cfRule type="expression" dxfId="238" priority="3">
      <formula>$AZ$2&lt;&gt;"6-300"</formula>
    </cfRule>
    <cfRule type="expression" dxfId="237" priority="4">
      <formula>AC26=""</formula>
    </cfRule>
    <cfRule type="expression" dxfId="236" priority="5">
      <formula>AND(AC26=$BI$2)</formula>
    </cfRule>
  </conditionalFormatting>
  <conditionalFormatting sqref="AZ2:BF2">
    <cfRule type="containsBlanks" dxfId="235" priority="2">
      <formula>LEN(TRIM(AZ2))=0</formula>
    </cfRule>
  </conditionalFormatting>
  <conditionalFormatting sqref="I5:AC5">
    <cfRule type="containsBlanks" dxfId="234" priority="1">
      <formula>LEN(TRIM(I5))=0</formula>
    </cfRule>
  </conditionalFormatting>
  <dataValidations count="9">
    <dataValidation type="list" allowBlank="1" showInputMessage="1" showErrorMessage="1" sqref="AZ2:BF2">
      <formula1>$BH$2:$BH$9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H30:AH43">
      <formula1>$BI$3:$BI$4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view="pageBreakPreview" topLeftCell="A13" zoomScale="85" zoomScaleNormal="100" zoomScaleSheetLayoutView="85" workbookViewId="0">
      <selection activeCell="AS8" sqref="AS8:BC8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5" t="s">
        <v>271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7"/>
      <c r="AS1" s="221" t="s">
        <v>0</v>
      </c>
      <c r="AT1" s="222"/>
      <c r="AU1" s="222"/>
      <c r="AV1" s="222"/>
      <c r="AW1" s="222"/>
      <c r="AX1" s="222"/>
      <c r="AY1" s="222"/>
      <c r="AZ1" s="228">
        <f>'单动-高速压机OP50'!AZ1:BF1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20"/>
      <c r="AS2" s="197" t="s">
        <v>84</v>
      </c>
      <c r="AT2" s="226"/>
      <c r="AU2" s="226"/>
      <c r="AV2" s="226"/>
      <c r="AW2" s="226"/>
      <c r="AX2" s="226"/>
      <c r="AY2" s="226"/>
      <c r="AZ2" s="231" t="s">
        <v>264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5" t="s">
        <v>1</v>
      </c>
      <c r="B3" s="226"/>
      <c r="C3" s="226"/>
      <c r="D3" s="226"/>
      <c r="E3" s="226"/>
      <c r="F3" s="226"/>
      <c r="G3" s="226"/>
      <c r="H3" s="226"/>
      <c r="I3" s="282" t="str">
        <f>'单动-高速压机OP50'!I3:O3</f>
        <v>2SD 809 605</v>
      </c>
      <c r="J3" s="282"/>
      <c r="K3" s="282"/>
      <c r="L3" s="282"/>
      <c r="M3" s="282"/>
      <c r="N3" s="282"/>
      <c r="O3" s="282"/>
      <c r="P3" s="226" t="s">
        <v>2</v>
      </c>
      <c r="Q3" s="226"/>
      <c r="R3" s="226"/>
      <c r="S3" s="226"/>
      <c r="T3" s="226"/>
      <c r="U3" s="226"/>
      <c r="V3" s="226"/>
      <c r="W3" s="282" t="str">
        <f>'单动-高速压机OP50'!W3:AC3</f>
        <v>左侧围</v>
      </c>
      <c r="X3" s="282"/>
      <c r="Y3" s="282"/>
      <c r="Z3" s="282"/>
      <c r="AA3" s="282"/>
      <c r="AB3" s="282"/>
      <c r="AC3" s="282"/>
      <c r="AD3" s="226" t="s">
        <v>83</v>
      </c>
      <c r="AE3" s="226"/>
      <c r="AF3" s="226"/>
      <c r="AG3" s="226"/>
      <c r="AH3" s="226"/>
      <c r="AI3" s="226"/>
      <c r="AJ3" s="226"/>
      <c r="AK3" s="226"/>
      <c r="AL3" s="283" t="str">
        <f>'单动-高速压机OP50'!AL3:AR3</f>
        <v>Polo NF</v>
      </c>
      <c r="AM3" s="284"/>
      <c r="AN3" s="284"/>
      <c r="AO3" s="284"/>
      <c r="AP3" s="284"/>
      <c r="AQ3" s="284"/>
      <c r="AR3" s="285"/>
      <c r="AS3" s="226" t="s">
        <v>3</v>
      </c>
      <c r="AT3" s="226"/>
      <c r="AU3" s="226"/>
      <c r="AV3" s="226"/>
      <c r="AW3" s="226"/>
      <c r="AX3" s="226"/>
      <c r="AY3" s="226"/>
      <c r="AZ3" s="282" t="s">
        <v>254</v>
      </c>
      <c r="BA3" s="282"/>
      <c r="BB3" s="282"/>
      <c r="BC3" s="282"/>
      <c r="BD3" s="282"/>
      <c r="BE3" s="282"/>
      <c r="BF3" s="286"/>
      <c r="BH3" s="17" t="s">
        <v>245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2" t="s">
        <v>82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2" t="s">
        <v>81</v>
      </c>
      <c r="B5" s="243"/>
      <c r="C5" s="243"/>
      <c r="D5" s="243"/>
      <c r="E5" s="243"/>
      <c r="F5" s="243"/>
      <c r="G5" s="243"/>
      <c r="H5" s="244"/>
      <c r="I5" s="194" t="s">
        <v>284</v>
      </c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6"/>
      <c r="AC5" s="197"/>
      <c r="AD5" s="257" t="s">
        <v>80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10" t="str">
        <f>IF($AZ$2=$BH$3,$BJ$3,$BJ$2)</f>
        <v>舒勒</v>
      </c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168"/>
      <c r="BE5" s="168"/>
      <c r="BF5" s="209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2" t="s">
        <v>7</v>
      </c>
      <c r="B6" s="243"/>
      <c r="C6" s="243"/>
      <c r="D6" s="243"/>
      <c r="E6" s="243"/>
      <c r="F6" s="243"/>
      <c r="G6" s="243"/>
      <c r="H6" s="244"/>
      <c r="I6" s="194" t="s">
        <v>274</v>
      </c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6"/>
      <c r="AC6" s="197"/>
      <c r="AD6" s="167" t="s">
        <v>78</v>
      </c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9"/>
      <c r="AS6" s="212">
        <v>12</v>
      </c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168" t="s">
        <v>115</v>
      </c>
      <c r="BE6" s="168"/>
      <c r="BF6" s="209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2" t="s">
        <v>77</v>
      </c>
      <c r="B7" s="243"/>
      <c r="C7" s="243"/>
      <c r="D7" s="243"/>
      <c r="E7" s="243"/>
      <c r="F7" s="243"/>
      <c r="G7" s="243"/>
      <c r="H7" s="244"/>
      <c r="I7" s="194">
        <v>38.5</v>
      </c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 t="s">
        <v>10</v>
      </c>
      <c r="AC7" s="197"/>
      <c r="AD7" s="167" t="s">
        <v>76</v>
      </c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9"/>
      <c r="AS7" s="212">
        <v>4</v>
      </c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168" t="s">
        <v>116</v>
      </c>
      <c r="BE7" s="168"/>
      <c r="BF7" s="209"/>
      <c r="BH7" s="17" t="s">
        <v>219</v>
      </c>
      <c r="BL7" s="17" t="s">
        <v>249</v>
      </c>
      <c r="BN7" s="95" t="s">
        <v>202</v>
      </c>
    </row>
    <row r="8" spans="1:70" ht="27" customHeight="1">
      <c r="A8" s="192" t="s">
        <v>75</v>
      </c>
      <c r="B8" s="193"/>
      <c r="C8" s="193"/>
      <c r="D8" s="193"/>
      <c r="E8" s="193"/>
      <c r="F8" s="193"/>
      <c r="G8" s="193"/>
      <c r="H8" s="193"/>
      <c r="I8" s="298">
        <v>17.5</v>
      </c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196" t="s">
        <v>10</v>
      </c>
      <c r="AC8" s="197"/>
      <c r="AD8" s="167" t="s">
        <v>74</v>
      </c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9"/>
      <c r="AS8" s="212">
        <v>8</v>
      </c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168" t="s">
        <v>118</v>
      </c>
      <c r="BE8" s="168"/>
      <c r="BF8" s="209"/>
      <c r="BH8" s="17" t="s">
        <v>220</v>
      </c>
      <c r="BL8" s="17" t="s">
        <v>139</v>
      </c>
      <c r="BN8" s="95" t="s">
        <v>203</v>
      </c>
    </row>
    <row r="9" spans="1:70" ht="27" customHeight="1">
      <c r="A9" s="198" t="s">
        <v>13</v>
      </c>
      <c r="B9" s="199"/>
      <c r="C9" s="199"/>
      <c r="D9" s="199"/>
      <c r="E9" s="199"/>
      <c r="F9" s="199"/>
      <c r="G9" s="199"/>
      <c r="H9" s="200"/>
      <c r="I9" s="201">
        <v>1378</v>
      </c>
      <c r="J9" s="202"/>
      <c r="K9" s="202"/>
      <c r="L9" s="202"/>
      <c r="M9" s="202"/>
      <c r="N9" s="202"/>
      <c r="O9" s="202"/>
      <c r="P9" s="202"/>
      <c r="Q9" s="202"/>
      <c r="R9" s="202"/>
      <c r="S9" s="214" t="s">
        <v>257</v>
      </c>
      <c r="T9" s="214"/>
      <c r="U9" s="214"/>
      <c r="V9" s="214"/>
      <c r="W9" s="214"/>
      <c r="X9" s="214"/>
      <c r="Y9" s="214"/>
      <c r="Z9" s="214"/>
      <c r="AA9" s="214"/>
      <c r="AB9" s="196" t="s">
        <v>114</v>
      </c>
      <c r="AC9" s="197"/>
      <c r="AD9" s="167" t="s">
        <v>72</v>
      </c>
      <c r="AE9" s="168"/>
      <c r="AF9" s="168" t="s">
        <v>56</v>
      </c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9"/>
      <c r="AS9" s="210" t="str">
        <f>IF(AND($AZ$2="6-300",$AZ$3="OP40"),"1800","1200")</f>
        <v>1200</v>
      </c>
      <c r="AT9" s="211"/>
      <c r="AU9" s="211"/>
      <c r="AV9" s="211"/>
      <c r="AW9" s="211"/>
      <c r="AX9" s="211"/>
      <c r="AY9" s="211"/>
      <c r="AZ9" s="211"/>
      <c r="BA9" s="211"/>
      <c r="BB9" s="211"/>
      <c r="BC9" s="211"/>
      <c r="BD9" s="168" t="s">
        <v>46</v>
      </c>
      <c r="BE9" s="168"/>
      <c r="BF9" s="209"/>
      <c r="BH9" s="17" t="s">
        <v>221</v>
      </c>
      <c r="BN9" s="95" t="s">
        <v>204</v>
      </c>
    </row>
    <row r="10" spans="1:70" ht="27" customHeight="1">
      <c r="A10" s="205" t="s">
        <v>70</v>
      </c>
      <c r="B10" s="206"/>
      <c r="C10" s="206"/>
      <c r="D10" s="206"/>
      <c r="E10" s="206"/>
      <c r="F10" s="206"/>
      <c r="G10" s="206"/>
      <c r="H10" s="207"/>
      <c r="I10" s="201">
        <v>1400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14"/>
      <c r="T10" s="214"/>
      <c r="U10" s="214"/>
      <c r="V10" s="214"/>
      <c r="W10" s="214"/>
      <c r="X10" s="214"/>
      <c r="Y10" s="214"/>
      <c r="Z10" s="214"/>
      <c r="AA10" s="214"/>
      <c r="AB10" s="196" t="s">
        <v>114</v>
      </c>
      <c r="AC10" s="197"/>
      <c r="AD10" s="167" t="s">
        <v>69</v>
      </c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9"/>
      <c r="AS10" s="167" t="s">
        <v>250</v>
      </c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 t="s">
        <v>215</v>
      </c>
      <c r="BE10" s="168"/>
      <c r="BF10" s="209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68</v>
      </c>
      <c r="AV11" s="38"/>
      <c r="AW11" s="90"/>
      <c r="AX11" s="119" t="s">
        <v>247</v>
      </c>
      <c r="AY11" s="38" t="s">
        <v>67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266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266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4" t="s">
        <v>66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4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4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8" t="s">
        <v>65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8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8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8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8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266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266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37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64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63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32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32</v>
      </c>
      <c r="T31" s="126" t="s">
        <v>32</v>
      </c>
      <c r="U31" s="126" t="s">
        <v>32</v>
      </c>
      <c r="V31" s="126" t="s">
        <v>32</v>
      </c>
      <c r="W31" s="126" t="s">
        <v>32</v>
      </c>
      <c r="X31" s="126" t="s">
        <v>32</v>
      </c>
      <c r="Y31" s="126" t="s">
        <v>32</v>
      </c>
      <c r="Z31" s="126" t="s">
        <v>32</v>
      </c>
      <c r="AA31" s="126" t="s">
        <v>32</v>
      </c>
      <c r="AB31" s="126" t="s">
        <v>32</v>
      </c>
      <c r="AC31" s="126" t="s">
        <v>32</v>
      </c>
      <c r="AD31" s="126" t="s">
        <v>32</v>
      </c>
      <c r="AE31" s="126" t="s">
        <v>32</v>
      </c>
      <c r="AF31" s="126" t="s">
        <v>32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32</v>
      </c>
      <c r="M32" s="126" t="s">
        <v>32</v>
      </c>
      <c r="N32" s="126" t="s">
        <v>267</v>
      </c>
      <c r="O32" s="126" t="s">
        <v>32</v>
      </c>
      <c r="P32" s="126" t="s">
        <v>267</v>
      </c>
      <c r="Q32" s="126" t="s">
        <v>32</v>
      </c>
      <c r="R32" s="126" t="s">
        <v>267</v>
      </c>
      <c r="S32" s="126" t="s">
        <v>32</v>
      </c>
      <c r="T32" s="126" t="s">
        <v>267</v>
      </c>
      <c r="U32" s="126" t="s">
        <v>32</v>
      </c>
      <c r="V32" s="126" t="s">
        <v>267</v>
      </c>
      <c r="W32" s="126" t="s">
        <v>32</v>
      </c>
      <c r="X32" s="126" t="s">
        <v>267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32</v>
      </c>
      <c r="L33" s="126" t="s">
        <v>32</v>
      </c>
      <c r="M33" s="126" t="s">
        <v>267</v>
      </c>
      <c r="N33" s="126" t="s">
        <v>32</v>
      </c>
      <c r="O33" s="126" t="s">
        <v>267</v>
      </c>
      <c r="P33" s="126" t="s">
        <v>32</v>
      </c>
      <c r="Q33" s="126" t="s">
        <v>267</v>
      </c>
      <c r="R33" s="126" t="s">
        <v>32</v>
      </c>
      <c r="S33" s="126" t="s">
        <v>267</v>
      </c>
      <c r="T33" s="126" t="s">
        <v>32</v>
      </c>
      <c r="U33" s="126" t="s">
        <v>267</v>
      </c>
      <c r="V33" s="126" t="s">
        <v>32</v>
      </c>
      <c r="W33" s="126" t="s">
        <v>267</v>
      </c>
      <c r="X33" s="126" t="s">
        <v>32</v>
      </c>
      <c r="Y33" s="126" t="s">
        <v>32</v>
      </c>
      <c r="Z33" s="126" t="s">
        <v>32</v>
      </c>
      <c r="AA33" s="126" t="s">
        <v>267</v>
      </c>
      <c r="AB33" s="126" t="s">
        <v>32</v>
      </c>
      <c r="AC33" s="126" t="s">
        <v>32</v>
      </c>
      <c r="AD33" s="126" t="s">
        <v>32</v>
      </c>
      <c r="AE33" s="126" t="s">
        <v>32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267</v>
      </c>
      <c r="N34" s="126" t="s">
        <v>267</v>
      </c>
      <c r="O34" s="126" t="s">
        <v>32</v>
      </c>
      <c r="P34" s="126" t="s">
        <v>32</v>
      </c>
      <c r="Q34" s="126" t="s">
        <v>32</v>
      </c>
      <c r="R34" s="126" t="s">
        <v>267</v>
      </c>
      <c r="S34" s="126" t="s">
        <v>32</v>
      </c>
      <c r="T34" s="126" t="s">
        <v>267</v>
      </c>
      <c r="U34" s="126" t="s">
        <v>32</v>
      </c>
      <c r="V34" s="126" t="s">
        <v>267</v>
      </c>
      <c r="W34" s="126" t="s">
        <v>32</v>
      </c>
      <c r="X34" s="126" t="s">
        <v>32</v>
      </c>
      <c r="Y34" s="126" t="s">
        <v>267</v>
      </c>
      <c r="Z34" s="126" t="s">
        <v>32</v>
      </c>
      <c r="AA34" s="126" t="s">
        <v>32</v>
      </c>
      <c r="AB34" s="126" t="s">
        <v>32</v>
      </c>
      <c r="AC34" s="126" t="s">
        <v>32</v>
      </c>
      <c r="AD34" s="126" t="s">
        <v>32</v>
      </c>
      <c r="AE34" s="126" t="s">
        <v>32</v>
      </c>
      <c r="AF34" s="126" t="s">
        <v>32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32</v>
      </c>
      <c r="K35" s="126" t="s">
        <v>32</v>
      </c>
      <c r="L35" s="126" t="s">
        <v>32</v>
      </c>
      <c r="M35" s="126" t="s">
        <v>267</v>
      </c>
      <c r="N35" s="126" t="s">
        <v>32</v>
      </c>
      <c r="O35" s="126" t="s">
        <v>32</v>
      </c>
      <c r="P35" s="126" t="s">
        <v>32</v>
      </c>
      <c r="Q35" s="126" t="s">
        <v>32</v>
      </c>
      <c r="R35" s="126" t="s">
        <v>32</v>
      </c>
      <c r="S35" s="126" t="s">
        <v>32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32</v>
      </c>
      <c r="Y35" s="126" t="s">
        <v>32</v>
      </c>
      <c r="Z35" s="126" t="s">
        <v>267</v>
      </c>
      <c r="AA35" s="126" t="s">
        <v>267</v>
      </c>
      <c r="AB35" s="126" t="s">
        <v>267</v>
      </c>
      <c r="AC35" s="126" t="s">
        <v>32</v>
      </c>
      <c r="AD35" s="126" t="s">
        <v>32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32</v>
      </c>
      <c r="M36" s="126" t="s">
        <v>267</v>
      </c>
      <c r="N36" s="126" t="s">
        <v>32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267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32</v>
      </c>
      <c r="AA36" s="126" t="s">
        <v>32</v>
      </c>
      <c r="AB36" s="126" t="s">
        <v>32</v>
      </c>
      <c r="AC36" s="126" t="s">
        <v>267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267</v>
      </c>
      <c r="N37" s="126" t="s">
        <v>267</v>
      </c>
      <c r="O37" s="126" t="s">
        <v>32</v>
      </c>
      <c r="P37" s="126" t="s">
        <v>32</v>
      </c>
      <c r="Q37" s="126" t="s">
        <v>32</v>
      </c>
      <c r="R37" s="126" t="s">
        <v>32</v>
      </c>
      <c r="S37" s="126" t="s">
        <v>32</v>
      </c>
      <c r="T37" s="126" t="s">
        <v>267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32</v>
      </c>
      <c r="Z37" s="126" t="s">
        <v>32</v>
      </c>
      <c r="AA37" s="126" t="s">
        <v>32</v>
      </c>
      <c r="AB37" s="126" t="s">
        <v>32</v>
      </c>
      <c r="AC37" s="126" t="s">
        <v>267</v>
      </c>
      <c r="AD37" s="126" t="s">
        <v>32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267</v>
      </c>
      <c r="P38" s="126" t="s">
        <v>267</v>
      </c>
      <c r="Q38" s="126" t="s">
        <v>32</v>
      </c>
      <c r="R38" s="126" t="s">
        <v>32</v>
      </c>
      <c r="S38" s="126" t="s">
        <v>32</v>
      </c>
      <c r="T38" s="126" t="s">
        <v>32</v>
      </c>
      <c r="U38" s="126" t="s">
        <v>32</v>
      </c>
      <c r="V38" s="126" t="s">
        <v>32</v>
      </c>
      <c r="W38" s="126" t="s">
        <v>32</v>
      </c>
      <c r="X38" s="126" t="s">
        <v>32</v>
      </c>
      <c r="Y38" s="126" t="s">
        <v>267</v>
      </c>
      <c r="Z38" s="126" t="s">
        <v>32</v>
      </c>
      <c r="AA38" s="126" t="s">
        <v>267</v>
      </c>
      <c r="AB38" s="126" t="s">
        <v>267</v>
      </c>
      <c r="AC38" s="126" t="s">
        <v>32</v>
      </c>
      <c r="AD38" s="126" t="s">
        <v>32</v>
      </c>
      <c r="AE38" s="126" t="s">
        <v>32</v>
      </c>
      <c r="AF38" s="126" t="s">
        <v>32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32</v>
      </c>
      <c r="K39" s="126" t="s">
        <v>32</v>
      </c>
      <c r="L39" s="126" t="s">
        <v>32</v>
      </c>
      <c r="M39" s="126" t="s">
        <v>32</v>
      </c>
      <c r="N39" s="126" t="s">
        <v>32</v>
      </c>
      <c r="O39" s="126" t="s">
        <v>32</v>
      </c>
      <c r="P39" s="126" t="s">
        <v>32</v>
      </c>
      <c r="Q39" s="126" t="s">
        <v>267</v>
      </c>
      <c r="R39" s="126" t="s">
        <v>32</v>
      </c>
      <c r="S39" s="126" t="s">
        <v>32</v>
      </c>
      <c r="T39" s="126" t="s">
        <v>32</v>
      </c>
      <c r="U39" s="126" t="s">
        <v>267</v>
      </c>
      <c r="V39" s="126" t="s">
        <v>32</v>
      </c>
      <c r="W39" s="126" t="s">
        <v>32</v>
      </c>
      <c r="X39" s="126" t="s">
        <v>267</v>
      </c>
      <c r="Y39" s="126" t="s">
        <v>32</v>
      </c>
      <c r="Z39" s="126" t="s">
        <v>32</v>
      </c>
      <c r="AA39" s="126" t="s">
        <v>267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267</v>
      </c>
      <c r="S40" s="126" t="s">
        <v>32</v>
      </c>
      <c r="T40" s="126" t="s">
        <v>267</v>
      </c>
      <c r="U40" s="126" t="s">
        <v>32</v>
      </c>
      <c r="V40" s="126" t="s">
        <v>267</v>
      </c>
      <c r="W40" s="126" t="s">
        <v>32</v>
      </c>
      <c r="X40" s="126" t="s">
        <v>267</v>
      </c>
      <c r="Y40" s="126" t="s">
        <v>32</v>
      </c>
      <c r="Z40" s="126" t="s">
        <v>267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62</v>
      </c>
      <c r="AT41" s="294"/>
      <c r="AU41" s="294"/>
      <c r="AV41" s="294"/>
      <c r="AW41" s="294"/>
      <c r="AX41" s="294"/>
      <c r="AY41" s="294"/>
      <c r="AZ41" s="275">
        <v>50</v>
      </c>
      <c r="BA41" s="276"/>
      <c r="BB41" s="276"/>
      <c r="BC41" s="276"/>
      <c r="BD41" s="276"/>
      <c r="BE41" s="276"/>
      <c r="BF41" s="277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78"/>
      <c r="BA42" s="279"/>
      <c r="BB42" s="279"/>
      <c r="BC42" s="279"/>
      <c r="BD42" s="279"/>
      <c r="BE42" s="279"/>
      <c r="BF42" s="280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8"/>
      <c r="AZ43" s="275">
        <v>1500</v>
      </c>
      <c r="BA43" s="276"/>
      <c r="BB43" s="276"/>
      <c r="BC43" s="276"/>
      <c r="BD43" s="276"/>
      <c r="BE43" s="276"/>
      <c r="BF43" s="277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9" t="str">
        <f>IF(AZ2="7-200","（± 0.2Mpa）"," （± 50KN）")</f>
        <v xml:space="preserve"> （± 50KN）</v>
      </c>
      <c r="AT44" s="190"/>
      <c r="AU44" s="190"/>
      <c r="AV44" s="190"/>
      <c r="AW44" s="190"/>
      <c r="AX44" s="190"/>
      <c r="AY44" s="191"/>
      <c r="AZ44" s="278"/>
      <c r="BA44" s="279"/>
      <c r="BB44" s="279"/>
      <c r="BC44" s="279"/>
      <c r="BD44" s="279"/>
      <c r="BE44" s="279"/>
      <c r="BF44" s="280"/>
    </row>
    <row r="45" spans="1:58" ht="19.149999999999999" customHeight="1">
      <c r="A45" s="48" t="s">
        <v>61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60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34"/>
      <c r="BC45" s="56"/>
      <c r="BD45" s="56"/>
      <c r="BE45" s="56"/>
      <c r="BF45" s="57"/>
    </row>
    <row r="46" spans="1:58" ht="19.149999999999999" customHeight="1">
      <c r="A46" s="133" t="s">
        <v>59</v>
      </c>
      <c r="B46" s="51"/>
      <c r="C46" s="50"/>
      <c r="D46" s="155" t="str">
        <f>'单动-高速压机OP50'!D46:N46</f>
        <v>2SD 809 605</v>
      </c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281" t="s">
        <v>138</v>
      </c>
      <c r="P46" s="281"/>
      <c r="Q46" s="281"/>
      <c r="R46" s="281"/>
      <c r="S46" s="281"/>
      <c r="T46" s="281"/>
      <c r="U46" s="281"/>
      <c r="V46" s="59"/>
      <c r="W46" s="127"/>
      <c r="X46" s="59"/>
      <c r="Y46" s="59"/>
      <c r="Z46" s="59"/>
      <c r="AA46" s="59"/>
      <c r="AB46" s="59"/>
      <c r="AC46" s="60"/>
      <c r="AD46" s="136" t="s">
        <v>238</v>
      </c>
      <c r="AE46" s="134"/>
      <c r="AF46" s="134"/>
      <c r="AG46" s="134"/>
      <c r="AH46" s="134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34"/>
      <c r="AS46" s="134"/>
      <c r="AT46" s="22"/>
      <c r="AU46" s="134"/>
      <c r="AV46" s="134"/>
      <c r="AW46" s="51"/>
      <c r="AX46" s="134"/>
      <c r="AY46" s="51"/>
      <c r="AZ46" s="20"/>
      <c r="BA46" s="20"/>
      <c r="BB46" s="134"/>
      <c r="BC46" s="56"/>
      <c r="BD46" s="56"/>
      <c r="BE46" s="56"/>
      <c r="BF46" s="57"/>
    </row>
    <row r="47" spans="1:58" ht="19.149999999999999" customHeight="1">
      <c r="A47" s="61" t="s">
        <v>58</v>
      </c>
      <c r="B47" s="51"/>
      <c r="C47" s="62"/>
      <c r="D47" s="155" t="str">
        <f>D46</f>
        <v>2SD 809 605</v>
      </c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281" t="s">
        <v>261</v>
      </c>
      <c r="P47" s="281"/>
      <c r="Q47" s="281"/>
      <c r="R47" s="281"/>
      <c r="S47" s="281"/>
      <c r="T47" s="281"/>
      <c r="U47" s="281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34"/>
      <c r="AS47" s="134"/>
      <c r="AT47" s="22"/>
      <c r="AU47" s="134"/>
      <c r="AV47" s="134"/>
      <c r="AW47" s="51"/>
      <c r="AX47" s="134"/>
      <c r="AY47" s="51"/>
      <c r="AZ47" s="20"/>
      <c r="BA47" s="20"/>
      <c r="BB47" s="134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35"/>
      <c r="AE48" s="134"/>
      <c r="AF48" s="134"/>
      <c r="AG48" s="134"/>
      <c r="AH48" s="134"/>
      <c r="AI48" s="134"/>
      <c r="AJ48" s="22"/>
      <c r="AK48" s="134"/>
      <c r="AL48" s="134"/>
      <c r="AM48" s="134"/>
      <c r="AN48" s="134"/>
      <c r="AO48" s="134"/>
      <c r="AP48" s="134"/>
      <c r="AQ48" s="134"/>
      <c r="AR48" s="134"/>
      <c r="AS48" s="134"/>
      <c r="AT48" s="22"/>
      <c r="AU48" s="134"/>
      <c r="AV48" s="134"/>
      <c r="AW48" s="51"/>
      <c r="AX48" s="134"/>
      <c r="AY48" s="51"/>
      <c r="AZ48" s="20"/>
      <c r="BA48" s="20"/>
      <c r="BB48" s="134"/>
      <c r="BC48" s="56"/>
      <c r="BD48" s="56"/>
      <c r="BE48" s="56"/>
      <c r="BF48" s="57"/>
    </row>
    <row r="49" spans="1:58" ht="19.149999999999999" customHeight="1">
      <c r="A49" s="48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235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34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70" t="s">
        <v>27</v>
      </c>
      <c r="AE53" s="170"/>
      <c r="AF53" s="170"/>
      <c r="AG53" s="170"/>
      <c r="AH53" s="170"/>
      <c r="AI53" s="170"/>
      <c r="AJ53" s="170"/>
      <c r="AK53" s="170"/>
      <c r="AL53" s="287" t="s">
        <v>258</v>
      </c>
      <c r="AM53" s="287"/>
      <c r="AN53" s="287"/>
      <c r="AO53" s="287"/>
      <c r="AP53" s="287"/>
      <c r="AQ53" s="287"/>
      <c r="AR53" s="287"/>
      <c r="AS53" s="170" t="s">
        <v>28</v>
      </c>
      <c r="AT53" s="170"/>
      <c r="AU53" s="170"/>
      <c r="AV53" s="170"/>
      <c r="AW53" s="170"/>
      <c r="AX53" s="170"/>
      <c r="AY53" s="170"/>
      <c r="AZ53" s="288" t="s">
        <v>265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70"/>
      <c r="AE54" s="170"/>
      <c r="AF54" s="170"/>
      <c r="AG54" s="170"/>
      <c r="AH54" s="170"/>
      <c r="AI54" s="170"/>
      <c r="AJ54" s="170"/>
      <c r="AK54" s="170"/>
      <c r="AL54" s="287"/>
      <c r="AM54" s="287"/>
      <c r="AN54" s="287"/>
      <c r="AO54" s="287"/>
      <c r="AP54" s="287"/>
      <c r="AQ54" s="287"/>
      <c r="AR54" s="287"/>
      <c r="AS54" s="170"/>
      <c r="AT54" s="170"/>
      <c r="AU54" s="170"/>
      <c r="AV54" s="170"/>
      <c r="AW54" s="170"/>
      <c r="AX54" s="170"/>
      <c r="AY54" s="170"/>
      <c r="AZ54" s="278"/>
      <c r="BA54" s="279"/>
      <c r="BB54" s="279"/>
      <c r="BC54" s="279"/>
      <c r="BD54" s="279"/>
      <c r="BE54" s="292"/>
      <c r="BF54" s="293"/>
    </row>
    <row r="55" spans="1:58" s="22" customFormat="1" ht="27" customHeight="1" thickBot="1">
      <c r="A55" s="12"/>
      <c r="B55" s="13" t="s">
        <v>54</v>
      </c>
      <c r="C55" s="14"/>
      <c r="D55" s="14"/>
      <c r="E55" s="235"/>
      <c r="F55" s="235"/>
      <c r="G55" s="235"/>
      <c r="H55" s="23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53</v>
      </c>
      <c r="V55" s="14"/>
      <c r="W55" s="14"/>
      <c r="X55" s="235"/>
      <c r="Y55" s="235"/>
      <c r="Z55" s="235"/>
      <c r="AA55" s="235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52</v>
      </c>
      <c r="AP55" s="14"/>
      <c r="AQ55" s="14"/>
      <c r="AR55" s="235"/>
      <c r="AS55" s="235"/>
      <c r="AT55" s="235"/>
      <c r="AU55" s="235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272</v>
      </c>
    </row>
  </sheetData>
  <sheetProtection selectLockedCells="1"/>
  <protectedRanges>
    <protectedRange sqref="AZ1:BF3 I3 W3 AL3 I5:AA8 I9:I10 AS5:BC10 AZ42:AZ43 AL53 AZ53 AD45:BF45 AX12 BA29 AD47:BF52 AK46:BF46 H12:AH26 H30:AH43" name="区域1"/>
  </protectedRanges>
  <mergeCells count="106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233" priority="102">
      <formula>AND($AZ$2&lt;&gt;"4-100")</formula>
    </cfRule>
  </conditionalFormatting>
  <conditionalFormatting sqref="O18:R18">
    <cfRule type="expression" dxfId="232" priority="101">
      <formula>AND($AZ$2&lt;&gt;"4-100")</formula>
    </cfRule>
  </conditionalFormatting>
  <conditionalFormatting sqref="S18">
    <cfRule type="expression" dxfId="231" priority="100">
      <formula>AND($AZ$2&lt;&gt;"4-100")</formula>
    </cfRule>
  </conditionalFormatting>
  <conditionalFormatting sqref="N19">
    <cfRule type="expression" dxfId="230" priority="99">
      <formula>AND($AZ$2&lt;&gt;"4-100")</formula>
    </cfRule>
  </conditionalFormatting>
  <conditionalFormatting sqref="N20">
    <cfRule type="expression" dxfId="229" priority="98">
      <formula>AND($AZ$2&lt;&gt;"4-100")</formula>
    </cfRule>
  </conditionalFormatting>
  <conditionalFormatting sqref="O20:R20">
    <cfRule type="expression" dxfId="228" priority="97">
      <formula>AND($AZ$2&lt;&gt;"4-100")</formula>
    </cfRule>
  </conditionalFormatting>
  <conditionalFormatting sqref="S20">
    <cfRule type="expression" dxfId="227" priority="96">
      <formula>AND($AZ$2&lt;&gt;"4-100")</formula>
    </cfRule>
  </conditionalFormatting>
  <conditionalFormatting sqref="S19">
    <cfRule type="expression" dxfId="226" priority="95">
      <formula>AND($AZ$2&lt;&gt;"4-100")</formula>
    </cfRule>
  </conditionalFormatting>
  <conditionalFormatting sqref="W18">
    <cfRule type="expression" dxfId="225" priority="94">
      <formula>AND($AZ$2&lt;&gt;"4-100")</formula>
    </cfRule>
  </conditionalFormatting>
  <conditionalFormatting sqref="X18:AA18">
    <cfRule type="expression" dxfId="224" priority="93">
      <formula>AND($AZ$2&lt;&gt;"4-100")</formula>
    </cfRule>
  </conditionalFormatting>
  <conditionalFormatting sqref="AB18">
    <cfRule type="expression" dxfId="223" priority="92">
      <formula>AND($AZ$2&lt;&gt;"4-100")</formula>
    </cfRule>
  </conditionalFormatting>
  <conditionalFormatting sqref="W19">
    <cfRule type="expression" dxfId="222" priority="91">
      <formula>AND($AZ$2&lt;&gt;"4-100")</formula>
    </cfRule>
  </conditionalFormatting>
  <conditionalFormatting sqref="W20">
    <cfRule type="expression" dxfId="221" priority="90">
      <formula>AND($AZ$2&lt;&gt;"4-100")</formula>
    </cfRule>
  </conditionalFormatting>
  <conditionalFormatting sqref="X20:AA20">
    <cfRule type="expression" dxfId="220" priority="89">
      <formula>AND($AZ$2&lt;&gt;"4-100")</formula>
    </cfRule>
  </conditionalFormatting>
  <conditionalFormatting sqref="AB20">
    <cfRule type="expression" dxfId="219" priority="88">
      <formula>AND($AZ$2&lt;&gt;"4-100")</formula>
    </cfRule>
  </conditionalFormatting>
  <conditionalFormatting sqref="AB19">
    <cfRule type="expression" dxfId="218" priority="87">
      <formula>AND($AZ$2&lt;&gt;"4-100")</formula>
    </cfRule>
  </conditionalFormatting>
  <conditionalFormatting sqref="H30:AH43">
    <cfRule type="expression" dxfId="217" priority="86">
      <formula>AND(H30=$BI$4)</formula>
    </cfRule>
  </conditionalFormatting>
  <conditionalFormatting sqref="J13">
    <cfRule type="expression" dxfId="216" priority="82">
      <formula>J13=""</formula>
    </cfRule>
    <cfRule type="expression" dxfId="215" priority="85">
      <formula>AND(J13=$BI$2)</formula>
    </cfRule>
  </conditionalFormatting>
  <conditionalFormatting sqref="K13">
    <cfRule type="expression" dxfId="214" priority="45">
      <formula>K13=""</formula>
    </cfRule>
    <cfRule type="expression" dxfId="213" priority="84">
      <formula>AND(K13=$BI$2)</formula>
    </cfRule>
  </conditionalFormatting>
  <conditionalFormatting sqref="I5:AA8 I3:O3 W3:AC3 AS6:BC8 I9:R10">
    <cfRule type="containsBlanks" dxfId="212" priority="105">
      <formula>LEN(TRIM(I3))=0</formula>
    </cfRule>
  </conditionalFormatting>
  <conditionalFormatting sqref="AL3:AR3">
    <cfRule type="containsBlanks" dxfId="211" priority="104">
      <formula>LEN(TRIM(AL3))=0</formula>
    </cfRule>
  </conditionalFormatting>
  <conditionalFormatting sqref="AZ1:BF1">
    <cfRule type="containsBlanks" dxfId="210" priority="103">
      <formula>LEN(TRIM(AZ1))=0</formula>
    </cfRule>
  </conditionalFormatting>
  <conditionalFormatting sqref="AZ2:BF2">
    <cfRule type="containsBlanks" dxfId="209" priority="106">
      <formula>LEN(TRIM(AZ2))=0</formula>
    </cfRule>
  </conditionalFormatting>
  <conditionalFormatting sqref="AZ3:BF3">
    <cfRule type="containsBlanks" dxfId="208" priority="107">
      <formula>LEN(TRIM(AZ3))=0</formula>
    </cfRule>
  </conditionalFormatting>
  <conditionalFormatting sqref="AZ41">
    <cfRule type="containsBlanks" dxfId="207" priority="108">
      <formula>LEN(TRIM(AZ41))=0</formula>
    </cfRule>
  </conditionalFormatting>
  <conditionalFormatting sqref="AZ43">
    <cfRule type="containsBlanks" dxfId="206" priority="109">
      <formula>LEN(TRIM(AZ43))=0</formula>
    </cfRule>
  </conditionalFormatting>
  <conditionalFormatting sqref="D46:N46">
    <cfRule type="containsBlanks" dxfId="205" priority="110">
      <formula>LEN(TRIM(D46))=0</formula>
    </cfRule>
  </conditionalFormatting>
  <conditionalFormatting sqref="O46:U46">
    <cfRule type="containsBlanks" dxfId="204" priority="112">
      <formula>LEN(TRIM(O46))=0</formula>
    </cfRule>
  </conditionalFormatting>
  <conditionalFormatting sqref="O47:U47">
    <cfRule type="containsBlanks" dxfId="203" priority="113">
      <formula>LEN(TRIM(O47))=0</formula>
    </cfRule>
  </conditionalFormatting>
  <conditionalFormatting sqref="D47:N47">
    <cfRule type="containsBlanks" dxfId="202" priority="111">
      <formula>LEN(TRIM(D47))=0</formula>
    </cfRule>
  </conditionalFormatting>
  <conditionalFormatting sqref="D51:AB51">
    <cfRule type="containsBlanks" dxfId="201" priority="114">
      <formula>LEN(TRIM(D51))=0</formula>
    </cfRule>
  </conditionalFormatting>
  <conditionalFormatting sqref="AI46">
    <cfRule type="containsBlanks" dxfId="200" priority="117">
      <formula>LEN(TRIM(AI46))=0</formula>
    </cfRule>
  </conditionalFormatting>
  <conditionalFormatting sqref="AL53:AR54">
    <cfRule type="containsBlanks" dxfId="199" priority="115">
      <formula>LEN(TRIM(AL53))=0</formula>
    </cfRule>
  </conditionalFormatting>
  <conditionalFormatting sqref="AZ53:BD54">
    <cfRule type="containsBlanks" dxfId="198" priority="116">
      <formula>LEN(TRIM(AZ53))=0</formula>
    </cfRule>
  </conditionalFormatting>
  <conditionalFormatting sqref="H30:AH42">
    <cfRule type="expression" dxfId="197" priority="83">
      <formula>H30=""</formula>
    </cfRule>
  </conditionalFormatting>
  <conditionalFormatting sqref="J14">
    <cfRule type="expression" dxfId="196" priority="80">
      <formula>J14=""</formula>
    </cfRule>
    <cfRule type="expression" dxfId="195" priority="81">
      <formula>AND(J14=$BI$2)</formula>
    </cfRule>
  </conditionalFormatting>
  <conditionalFormatting sqref="J24">
    <cfRule type="expression" dxfId="194" priority="78">
      <formula>J24=""</formula>
    </cfRule>
    <cfRule type="expression" dxfId="193" priority="79">
      <formula>AND(J24=$BI$2)</formula>
    </cfRule>
  </conditionalFormatting>
  <conditionalFormatting sqref="J25">
    <cfRule type="expression" dxfId="192" priority="76">
      <formula>J25=""</formula>
    </cfRule>
    <cfRule type="expression" dxfId="191" priority="77">
      <formula>AND(J25=$BI$2)</formula>
    </cfRule>
  </conditionalFormatting>
  <conditionalFormatting sqref="L13">
    <cfRule type="expression" dxfId="190" priority="74">
      <formula>L13=""</formula>
    </cfRule>
    <cfRule type="expression" dxfId="189" priority="75">
      <formula>AND(L13=$BI$2)</formula>
    </cfRule>
  </conditionalFormatting>
  <conditionalFormatting sqref="P13">
    <cfRule type="expression" dxfId="188" priority="72">
      <formula>P13=""</formula>
    </cfRule>
    <cfRule type="expression" dxfId="187" priority="73">
      <formula>AND(P13=$BI$2)</formula>
    </cfRule>
  </conditionalFormatting>
  <conditionalFormatting sqref="P14">
    <cfRule type="expression" dxfId="186" priority="70">
      <formula>P14=""</formula>
    </cfRule>
    <cfRule type="expression" dxfId="185" priority="71">
      <formula>AND(P14=$BI$2)</formula>
    </cfRule>
  </conditionalFormatting>
  <conditionalFormatting sqref="P24">
    <cfRule type="expression" dxfId="184" priority="68">
      <formula>P24=""</formula>
    </cfRule>
    <cfRule type="expression" dxfId="183" priority="69">
      <formula>AND(P24=$BI$2)</formula>
    </cfRule>
  </conditionalFormatting>
  <conditionalFormatting sqref="P25">
    <cfRule type="expression" dxfId="182" priority="66">
      <formula>P25=""</formula>
    </cfRule>
    <cfRule type="expression" dxfId="181" priority="67">
      <formula>AND(P25=$BI$2)</formula>
    </cfRule>
  </conditionalFormatting>
  <conditionalFormatting sqref="L25">
    <cfRule type="expression" dxfId="180" priority="64">
      <formula>L25=""</formula>
    </cfRule>
    <cfRule type="expression" dxfId="179" priority="65">
      <formula>AND(L25=$BI$2)</formula>
    </cfRule>
  </conditionalFormatting>
  <conditionalFormatting sqref="T14">
    <cfRule type="expression" dxfId="178" priority="62">
      <formula>T14=""</formula>
    </cfRule>
    <cfRule type="expression" dxfId="177" priority="63">
      <formula>AND(T14=$BI$2)</formula>
    </cfRule>
  </conditionalFormatting>
  <conditionalFormatting sqref="T24">
    <cfRule type="expression" dxfId="176" priority="60">
      <formula>T24=""</formula>
    </cfRule>
    <cfRule type="expression" dxfId="175" priority="61">
      <formula>AND(T24=$BI$2)</formula>
    </cfRule>
  </conditionalFormatting>
  <conditionalFormatting sqref="AA13">
    <cfRule type="expression" dxfId="174" priority="58">
      <formula>AA13=""</formula>
    </cfRule>
    <cfRule type="expression" dxfId="173" priority="59">
      <formula>AND(AA13=$BI$2)</formula>
    </cfRule>
  </conditionalFormatting>
  <conditionalFormatting sqref="AC12">
    <cfRule type="expression" dxfId="172" priority="4">
      <formula>$AZ$2&lt;&gt;"6-300"</formula>
    </cfRule>
    <cfRule type="expression" dxfId="171" priority="56">
      <formula>AC12=""</formula>
    </cfRule>
    <cfRule type="expression" dxfId="170" priority="57">
      <formula>AND(AC12=$BI$2)</formula>
    </cfRule>
  </conditionalFormatting>
  <conditionalFormatting sqref="AC13">
    <cfRule type="expression" dxfId="169" priority="54">
      <formula>AC13=""</formula>
    </cfRule>
    <cfRule type="expression" dxfId="168" priority="55">
      <formula>AND(AC13=$BI$2)</formula>
    </cfRule>
  </conditionalFormatting>
  <conditionalFormatting sqref="AE13">
    <cfRule type="expression" dxfId="167" priority="52">
      <formula>AE13=""</formula>
    </cfRule>
    <cfRule type="expression" dxfId="166" priority="53">
      <formula>AND(AE13=$BI$2)</formula>
    </cfRule>
  </conditionalFormatting>
  <conditionalFormatting sqref="AC25">
    <cfRule type="expression" dxfId="165" priority="50">
      <formula>AC25=""</formula>
    </cfRule>
    <cfRule type="expression" dxfId="164" priority="51">
      <formula>AND(AC25=$BI$2)</formula>
    </cfRule>
  </conditionalFormatting>
  <conditionalFormatting sqref="AE25">
    <cfRule type="expression" dxfId="163" priority="48">
      <formula>AE25=""</formula>
    </cfRule>
    <cfRule type="expression" dxfId="162" priority="49">
      <formula>AND(AE25=$BI$2)</formula>
    </cfRule>
  </conditionalFormatting>
  <conditionalFormatting sqref="AA25">
    <cfRule type="expression" dxfId="161" priority="46">
      <formula>AA25=""</formula>
    </cfRule>
    <cfRule type="expression" dxfId="160" priority="47">
      <formula>AND(AA25=$BI$2)</formula>
    </cfRule>
  </conditionalFormatting>
  <conditionalFormatting sqref="K25">
    <cfRule type="expression" dxfId="159" priority="43">
      <formula>K25=""</formula>
    </cfRule>
    <cfRule type="expression" dxfId="158" priority="44">
      <formula>AND(K25=$BI$2)</formula>
    </cfRule>
  </conditionalFormatting>
  <conditionalFormatting sqref="M12">
    <cfRule type="expression" dxfId="157" priority="8">
      <formula>$AZ$2&lt;&gt;"6-300"</formula>
    </cfRule>
    <cfRule type="expression" dxfId="156" priority="41">
      <formula>M12=""</formula>
    </cfRule>
    <cfRule type="expression" dxfId="155" priority="42">
      <formula>AND(M12=$BI$2)</formula>
    </cfRule>
  </conditionalFormatting>
  <conditionalFormatting sqref="M13">
    <cfRule type="expression" dxfId="154" priority="39">
      <formula>M13=""</formula>
    </cfRule>
    <cfRule type="expression" dxfId="153" priority="40">
      <formula>AND(M13=$BI$2)</formula>
    </cfRule>
  </conditionalFormatting>
  <conditionalFormatting sqref="M25">
    <cfRule type="expression" dxfId="152" priority="37">
      <formula>M25=""</formula>
    </cfRule>
    <cfRule type="expression" dxfId="151" priority="38">
      <formula>AND(M25=$BI$2)</formula>
    </cfRule>
  </conditionalFormatting>
  <conditionalFormatting sqref="O13">
    <cfRule type="expression" dxfId="150" priority="35">
      <formula>O13=""</formula>
    </cfRule>
    <cfRule type="expression" dxfId="149" priority="36">
      <formula>AND(O13=$BI$2)</formula>
    </cfRule>
  </conditionalFormatting>
  <conditionalFormatting sqref="O25">
    <cfRule type="expression" dxfId="148" priority="33">
      <formula>O25=""</formula>
    </cfRule>
    <cfRule type="expression" dxfId="147" priority="34">
      <formula>AND(O25=$BI$2)</formula>
    </cfRule>
  </conditionalFormatting>
  <conditionalFormatting sqref="V14">
    <cfRule type="expression" dxfId="146" priority="31">
      <formula>V14=""</formula>
    </cfRule>
    <cfRule type="expression" dxfId="145" priority="32">
      <formula>AND(V14=$BI$2)</formula>
    </cfRule>
  </conditionalFormatting>
  <conditionalFormatting sqref="V24">
    <cfRule type="expression" dxfId="144" priority="29">
      <formula>V24=""</formula>
    </cfRule>
    <cfRule type="expression" dxfId="143" priority="30">
      <formula>AND(V24=$BI$2)</formula>
    </cfRule>
  </conditionalFormatting>
  <conditionalFormatting sqref="Z13">
    <cfRule type="expression" dxfId="142" priority="27">
      <formula>Z13=""</formula>
    </cfRule>
    <cfRule type="expression" dxfId="141" priority="28">
      <formula>AND(Z13=$BI$2)</formula>
    </cfRule>
  </conditionalFormatting>
  <conditionalFormatting sqref="Z14">
    <cfRule type="expression" dxfId="140" priority="25">
      <formula>Z14=""</formula>
    </cfRule>
    <cfRule type="expression" dxfId="139" priority="26">
      <formula>AND(Z14=$BI$2)</formula>
    </cfRule>
  </conditionalFormatting>
  <conditionalFormatting sqref="Z24">
    <cfRule type="expression" dxfId="138" priority="23">
      <formula>Z24=""</formula>
    </cfRule>
    <cfRule type="expression" dxfId="137" priority="24">
      <formula>AND(Z24=$BI$2)</formula>
    </cfRule>
  </conditionalFormatting>
  <conditionalFormatting sqref="Z25">
    <cfRule type="expression" dxfId="136" priority="21">
      <formula>Z25=""</formula>
    </cfRule>
    <cfRule type="expression" dxfId="135" priority="22">
      <formula>AND(Z25=$BI$2)</formula>
    </cfRule>
  </conditionalFormatting>
  <conditionalFormatting sqref="AD13">
    <cfRule type="expression" dxfId="134" priority="19">
      <formula>AD13=""</formula>
    </cfRule>
    <cfRule type="expression" dxfId="133" priority="20">
      <formula>AND(AD13=$BI$2)</formula>
    </cfRule>
  </conditionalFormatting>
  <conditionalFormatting sqref="AD25">
    <cfRule type="expression" dxfId="132" priority="17">
      <formula>AD25=""</formula>
    </cfRule>
    <cfRule type="expression" dxfId="131" priority="18">
      <formula>AND(AD25=$BI$2)</formula>
    </cfRule>
  </conditionalFormatting>
  <conditionalFormatting sqref="AF13">
    <cfRule type="expression" dxfId="130" priority="15">
      <formula>AF13=""</formula>
    </cfRule>
    <cfRule type="expression" dxfId="129" priority="16">
      <formula>AND(AF13=$BI$2)</formula>
    </cfRule>
  </conditionalFormatting>
  <conditionalFormatting sqref="AF14">
    <cfRule type="expression" dxfId="128" priority="13">
      <formula>AF14=""</formula>
    </cfRule>
    <cfRule type="expression" dxfId="127" priority="14">
      <formula>AND(AF14=$BI$2)</formula>
    </cfRule>
  </conditionalFormatting>
  <conditionalFormatting sqref="AF24">
    <cfRule type="expression" dxfId="126" priority="11">
      <formula>AF24=""</formula>
    </cfRule>
    <cfRule type="expression" dxfId="125" priority="12">
      <formula>AND(AF24=$BI$2)</formula>
    </cfRule>
  </conditionalFormatting>
  <conditionalFormatting sqref="AF25">
    <cfRule type="expression" dxfId="124" priority="9">
      <formula>AF25=""</formula>
    </cfRule>
    <cfRule type="expression" dxfId="123" priority="10">
      <formula>AND(AF25=$BI$2)</formula>
    </cfRule>
  </conditionalFormatting>
  <conditionalFormatting sqref="M26">
    <cfRule type="expression" dxfId="122" priority="5">
      <formula>$AZ$2&lt;&gt;"6-300"</formula>
    </cfRule>
    <cfRule type="expression" dxfId="121" priority="6">
      <formula>M26=""</formula>
    </cfRule>
    <cfRule type="expression" dxfId="120" priority="7">
      <formula>AND(M26=$BI$2)</formula>
    </cfRule>
  </conditionalFormatting>
  <conditionalFormatting sqref="AC26">
    <cfRule type="expression" dxfId="119" priority="1">
      <formula>$AZ$2&lt;&gt;"6-300"</formula>
    </cfRule>
    <cfRule type="expression" dxfId="118" priority="2">
      <formula>AC26=""</formula>
    </cfRule>
    <cfRule type="expression" dxfId="117" priority="3">
      <formula>AND(AC26=$BI$2)</formula>
    </cfRule>
  </conditionalFormatting>
  <dataValidations count="9">
    <dataValidation type="list" allowBlank="1" showInputMessage="1" showErrorMessage="1" sqref="H30:AH43">
      <formula1>$BI$3:$BI$4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AZ2:BF2">
      <formula1>$BH$2:$BH$9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R56"/>
  <sheetViews>
    <sheetView tabSelected="1" view="pageBreakPreview" topLeftCell="A5" zoomScale="85" zoomScaleNormal="100" zoomScaleSheetLayoutView="85" workbookViewId="0">
      <selection activeCell="AS8" sqref="AS8:BC8"/>
    </sheetView>
  </sheetViews>
  <sheetFormatPr defaultRowHeight="16.5"/>
  <cols>
    <col min="1" max="58" width="2.625" style="17" customWidth="1"/>
    <col min="59" max="63" width="9" style="17"/>
    <col min="64" max="64" width="16.25" style="17" bestFit="1" customWidth="1"/>
    <col min="65" max="65" width="15" style="17" bestFit="1" customWidth="1"/>
    <col min="66" max="66" width="10" style="17" customWidth="1"/>
    <col min="67" max="254" width="9" style="17"/>
    <col min="255" max="310" width="2.125" style="17" customWidth="1"/>
    <col min="311" max="510" width="9" style="17"/>
    <col min="511" max="566" width="2.125" style="17" customWidth="1"/>
    <col min="567" max="766" width="9" style="17"/>
    <col min="767" max="822" width="2.125" style="17" customWidth="1"/>
    <col min="823" max="1022" width="9" style="17"/>
    <col min="1023" max="1078" width="2.125" style="17" customWidth="1"/>
    <col min="1079" max="1278" width="9" style="17"/>
    <col min="1279" max="1334" width="2.125" style="17" customWidth="1"/>
    <col min="1335" max="1534" width="9" style="17"/>
    <col min="1535" max="1590" width="2.125" style="17" customWidth="1"/>
    <col min="1591" max="1790" width="9" style="17"/>
    <col min="1791" max="1846" width="2.125" style="17" customWidth="1"/>
    <col min="1847" max="2046" width="9" style="17"/>
    <col min="2047" max="2102" width="2.125" style="17" customWidth="1"/>
    <col min="2103" max="2302" width="9" style="17"/>
    <col min="2303" max="2358" width="2.125" style="17" customWidth="1"/>
    <col min="2359" max="2558" width="9" style="17"/>
    <col min="2559" max="2614" width="2.125" style="17" customWidth="1"/>
    <col min="2615" max="2814" width="9" style="17"/>
    <col min="2815" max="2870" width="2.125" style="17" customWidth="1"/>
    <col min="2871" max="3070" width="9" style="17"/>
    <col min="3071" max="3126" width="2.125" style="17" customWidth="1"/>
    <col min="3127" max="3326" width="9" style="17"/>
    <col min="3327" max="3382" width="2.125" style="17" customWidth="1"/>
    <col min="3383" max="3582" width="9" style="17"/>
    <col min="3583" max="3638" width="2.125" style="17" customWidth="1"/>
    <col min="3639" max="3838" width="9" style="17"/>
    <col min="3839" max="3894" width="2.125" style="17" customWidth="1"/>
    <col min="3895" max="4094" width="9" style="17"/>
    <col min="4095" max="4150" width="2.125" style="17" customWidth="1"/>
    <col min="4151" max="4350" width="9" style="17"/>
    <col min="4351" max="4406" width="2.125" style="17" customWidth="1"/>
    <col min="4407" max="4606" width="9" style="17"/>
    <col min="4607" max="4662" width="2.125" style="17" customWidth="1"/>
    <col min="4663" max="4862" width="9" style="17"/>
    <col min="4863" max="4918" width="2.125" style="17" customWidth="1"/>
    <col min="4919" max="5118" width="9" style="17"/>
    <col min="5119" max="5174" width="2.125" style="17" customWidth="1"/>
    <col min="5175" max="5374" width="9" style="17"/>
    <col min="5375" max="5430" width="2.125" style="17" customWidth="1"/>
    <col min="5431" max="5630" width="9" style="17"/>
    <col min="5631" max="5686" width="2.125" style="17" customWidth="1"/>
    <col min="5687" max="5886" width="9" style="17"/>
    <col min="5887" max="5942" width="2.125" style="17" customWidth="1"/>
    <col min="5943" max="6142" width="9" style="17"/>
    <col min="6143" max="6198" width="2.125" style="17" customWidth="1"/>
    <col min="6199" max="6398" width="9" style="17"/>
    <col min="6399" max="6454" width="2.125" style="17" customWidth="1"/>
    <col min="6455" max="6654" width="9" style="17"/>
    <col min="6655" max="6710" width="2.125" style="17" customWidth="1"/>
    <col min="6711" max="6910" width="9" style="17"/>
    <col min="6911" max="6966" width="2.125" style="17" customWidth="1"/>
    <col min="6967" max="7166" width="9" style="17"/>
    <col min="7167" max="7222" width="2.125" style="17" customWidth="1"/>
    <col min="7223" max="7422" width="9" style="17"/>
    <col min="7423" max="7478" width="2.125" style="17" customWidth="1"/>
    <col min="7479" max="7678" width="9" style="17"/>
    <col min="7679" max="7734" width="2.125" style="17" customWidth="1"/>
    <col min="7735" max="7934" width="9" style="17"/>
    <col min="7935" max="7990" width="2.125" style="17" customWidth="1"/>
    <col min="7991" max="8190" width="9" style="17"/>
    <col min="8191" max="8246" width="2.125" style="17" customWidth="1"/>
    <col min="8247" max="8446" width="9" style="17"/>
    <col min="8447" max="8502" width="2.125" style="17" customWidth="1"/>
    <col min="8503" max="8702" width="9" style="17"/>
    <col min="8703" max="8758" width="2.125" style="17" customWidth="1"/>
    <col min="8759" max="8958" width="9" style="17"/>
    <col min="8959" max="9014" width="2.125" style="17" customWidth="1"/>
    <col min="9015" max="9214" width="9" style="17"/>
    <col min="9215" max="9270" width="2.125" style="17" customWidth="1"/>
    <col min="9271" max="9470" width="9" style="17"/>
    <col min="9471" max="9526" width="2.125" style="17" customWidth="1"/>
    <col min="9527" max="9726" width="9" style="17"/>
    <col min="9727" max="9782" width="2.125" style="17" customWidth="1"/>
    <col min="9783" max="9982" width="9" style="17"/>
    <col min="9983" max="10038" width="2.125" style="17" customWidth="1"/>
    <col min="10039" max="10238" width="9" style="17"/>
    <col min="10239" max="10294" width="2.125" style="17" customWidth="1"/>
    <col min="10295" max="10494" width="9" style="17"/>
    <col min="10495" max="10550" width="2.125" style="17" customWidth="1"/>
    <col min="10551" max="10750" width="9" style="17"/>
    <col min="10751" max="10806" width="2.125" style="17" customWidth="1"/>
    <col min="10807" max="11006" width="9" style="17"/>
    <col min="11007" max="11062" width="2.125" style="17" customWidth="1"/>
    <col min="11063" max="11262" width="9" style="17"/>
    <col min="11263" max="11318" width="2.125" style="17" customWidth="1"/>
    <col min="11319" max="11518" width="9" style="17"/>
    <col min="11519" max="11574" width="2.125" style="17" customWidth="1"/>
    <col min="11575" max="11774" width="9" style="17"/>
    <col min="11775" max="11830" width="2.125" style="17" customWidth="1"/>
    <col min="11831" max="12030" width="9" style="17"/>
    <col min="12031" max="12086" width="2.125" style="17" customWidth="1"/>
    <col min="12087" max="12286" width="9" style="17"/>
    <col min="12287" max="12342" width="2.125" style="17" customWidth="1"/>
    <col min="12343" max="12542" width="9" style="17"/>
    <col min="12543" max="12598" width="2.125" style="17" customWidth="1"/>
    <col min="12599" max="12798" width="9" style="17"/>
    <col min="12799" max="12854" width="2.125" style="17" customWidth="1"/>
    <col min="12855" max="13054" width="9" style="17"/>
    <col min="13055" max="13110" width="2.125" style="17" customWidth="1"/>
    <col min="13111" max="13310" width="9" style="17"/>
    <col min="13311" max="13366" width="2.125" style="17" customWidth="1"/>
    <col min="13367" max="13566" width="9" style="17"/>
    <col min="13567" max="13622" width="2.125" style="17" customWidth="1"/>
    <col min="13623" max="13822" width="9" style="17"/>
    <col min="13823" max="13878" width="2.125" style="17" customWidth="1"/>
    <col min="13879" max="14078" width="9" style="17"/>
    <col min="14079" max="14134" width="2.125" style="17" customWidth="1"/>
    <col min="14135" max="14334" width="9" style="17"/>
    <col min="14335" max="14390" width="2.125" style="17" customWidth="1"/>
    <col min="14391" max="14590" width="9" style="17"/>
    <col min="14591" max="14646" width="2.125" style="17" customWidth="1"/>
    <col min="14647" max="14846" width="9" style="17"/>
    <col min="14847" max="14902" width="2.125" style="17" customWidth="1"/>
    <col min="14903" max="15102" width="9" style="17"/>
    <col min="15103" max="15158" width="2.125" style="17" customWidth="1"/>
    <col min="15159" max="15358" width="9" style="17"/>
    <col min="15359" max="15414" width="2.125" style="17" customWidth="1"/>
    <col min="15415" max="15614" width="9" style="17"/>
    <col min="15615" max="15670" width="2.125" style="17" customWidth="1"/>
    <col min="15671" max="15870" width="9" style="17"/>
    <col min="15871" max="15926" width="2.125" style="17" customWidth="1"/>
    <col min="15927" max="16126" width="9" style="17"/>
    <col min="16127" max="16182" width="2.125" style="17" customWidth="1"/>
    <col min="16183" max="16380" width="9" style="17"/>
    <col min="16381" max="16384" width="8.875" style="17" customWidth="1"/>
  </cols>
  <sheetData>
    <row r="1" spans="1:70" ht="27" customHeight="1">
      <c r="A1" s="215" t="s">
        <v>271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7"/>
      <c r="AS1" s="221" t="s">
        <v>0</v>
      </c>
      <c r="AT1" s="222"/>
      <c r="AU1" s="222"/>
      <c r="AV1" s="222"/>
      <c r="AW1" s="222"/>
      <c r="AX1" s="222"/>
      <c r="AY1" s="222"/>
      <c r="AZ1" s="228">
        <f>'单动-高速压机OP50'!AZ1:BF1</f>
        <v>1</v>
      </c>
      <c r="BA1" s="229"/>
      <c r="BB1" s="229"/>
      <c r="BC1" s="229"/>
      <c r="BD1" s="229"/>
      <c r="BE1" s="229"/>
      <c r="BF1" s="230"/>
    </row>
    <row r="2" spans="1:70" ht="27" customHeight="1">
      <c r="A2" s="218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20"/>
      <c r="AS2" s="197" t="s">
        <v>36</v>
      </c>
      <c r="AT2" s="226"/>
      <c r="AU2" s="226"/>
      <c r="AV2" s="226"/>
      <c r="AW2" s="226"/>
      <c r="AX2" s="226"/>
      <c r="AY2" s="226"/>
      <c r="AZ2" s="231" t="s">
        <v>264</v>
      </c>
      <c r="BA2" s="232"/>
      <c r="BB2" s="232"/>
      <c r="BC2" s="232"/>
      <c r="BD2" s="232"/>
      <c r="BE2" s="232"/>
      <c r="BF2" s="233"/>
      <c r="BH2" s="17" t="s">
        <v>86</v>
      </c>
      <c r="BI2" s="94" t="s">
        <v>110</v>
      </c>
      <c r="BJ2" s="17" t="s">
        <v>125</v>
      </c>
      <c r="BK2" s="17" t="s">
        <v>128</v>
      </c>
      <c r="BL2" s="17" t="s">
        <v>136</v>
      </c>
      <c r="BM2" s="17" t="s">
        <v>252</v>
      </c>
      <c r="BN2" s="95" t="s">
        <v>197</v>
      </c>
      <c r="BO2" s="95" t="s">
        <v>207</v>
      </c>
      <c r="BP2" s="17" t="s">
        <v>213</v>
      </c>
      <c r="BQ2" s="17">
        <v>1200</v>
      </c>
      <c r="BR2" s="20" t="s">
        <v>236</v>
      </c>
    </row>
    <row r="3" spans="1:70" s="1" customFormat="1" ht="27" customHeight="1">
      <c r="A3" s="225" t="s">
        <v>1</v>
      </c>
      <c r="B3" s="226"/>
      <c r="C3" s="226"/>
      <c r="D3" s="226"/>
      <c r="E3" s="226"/>
      <c r="F3" s="226"/>
      <c r="G3" s="226"/>
      <c r="H3" s="226"/>
      <c r="I3" s="282" t="str">
        <f>'单动-高速压机OP50'!I3:O3</f>
        <v>2SD 809 605</v>
      </c>
      <c r="J3" s="282"/>
      <c r="K3" s="282"/>
      <c r="L3" s="282"/>
      <c r="M3" s="282"/>
      <c r="N3" s="282"/>
      <c r="O3" s="282"/>
      <c r="P3" s="226" t="s">
        <v>2</v>
      </c>
      <c r="Q3" s="226"/>
      <c r="R3" s="226"/>
      <c r="S3" s="226"/>
      <c r="T3" s="226"/>
      <c r="U3" s="226"/>
      <c r="V3" s="226"/>
      <c r="W3" s="282" t="str">
        <f>'单动-高速压机OP50'!W3:AC3</f>
        <v>左侧围</v>
      </c>
      <c r="X3" s="282"/>
      <c r="Y3" s="282"/>
      <c r="Z3" s="282"/>
      <c r="AA3" s="282"/>
      <c r="AB3" s="282"/>
      <c r="AC3" s="282"/>
      <c r="AD3" s="226" t="s">
        <v>83</v>
      </c>
      <c r="AE3" s="226"/>
      <c r="AF3" s="226"/>
      <c r="AG3" s="226"/>
      <c r="AH3" s="226"/>
      <c r="AI3" s="226"/>
      <c r="AJ3" s="226"/>
      <c r="AK3" s="226"/>
      <c r="AL3" s="283" t="str">
        <f>'单动-高速压机OP50'!AL3:AR3</f>
        <v>Polo NF</v>
      </c>
      <c r="AM3" s="284"/>
      <c r="AN3" s="284"/>
      <c r="AO3" s="284"/>
      <c r="AP3" s="284"/>
      <c r="AQ3" s="284"/>
      <c r="AR3" s="285"/>
      <c r="AS3" s="226" t="s">
        <v>3</v>
      </c>
      <c r="AT3" s="226"/>
      <c r="AU3" s="226"/>
      <c r="AV3" s="226"/>
      <c r="AW3" s="226"/>
      <c r="AX3" s="226"/>
      <c r="AY3" s="226"/>
      <c r="AZ3" s="282" t="s">
        <v>277</v>
      </c>
      <c r="BA3" s="282"/>
      <c r="BB3" s="282"/>
      <c r="BC3" s="282"/>
      <c r="BD3" s="282"/>
      <c r="BE3" s="282"/>
      <c r="BF3" s="286"/>
      <c r="BH3" s="17" t="s">
        <v>87</v>
      </c>
      <c r="BI3" s="94" t="s">
        <v>111</v>
      </c>
      <c r="BJ3" s="17" t="s">
        <v>126</v>
      </c>
      <c r="BK3" s="17" t="s">
        <v>129</v>
      </c>
      <c r="BL3" s="17" t="s">
        <v>248</v>
      </c>
      <c r="BM3" s="17" t="s">
        <v>253</v>
      </c>
      <c r="BN3" s="95" t="s">
        <v>198</v>
      </c>
      <c r="BO3" s="95" t="s">
        <v>208</v>
      </c>
      <c r="BP3" s="1" t="s">
        <v>214</v>
      </c>
      <c r="BQ3" s="17">
        <v>1800</v>
      </c>
      <c r="BR3" s="20" t="s">
        <v>244</v>
      </c>
    </row>
    <row r="4" spans="1:70" ht="27" customHeight="1">
      <c r="A4" s="242" t="s">
        <v>4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6"/>
      <c r="BH4" s="17" t="s">
        <v>216</v>
      </c>
      <c r="BI4" s="94" t="s">
        <v>109</v>
      </c>
      <c r="BK4" s="17" t="s">
        <v>130</v>
      </c>
      <c r="BL4" s="17" t="s">
        <v>135</v>
      </c>
      <c r="BN4" s="95" t="s">
        <v>199</v>
      </c>
      <c r="BO4" s="95" t="s">
        <v>209</v>
      </c>
      <c r="BR4" s="20" t="s">
        <v>243</v>
      </c>
    </row>
    <row r="5" spans="1:70" ht="27" customHeight="1">
      <c r="A5" s="242" t="s">
        <v>5</v>
      </c>
      <c r="B5" s="243"/>
      <c r="C5" s="243"/>
      <c r="D5" s="243"/>
      <c r="E5" s="243"/>
      <c r="F5" s="243"/>
      <c r="G5" s="243"/>
      <c r="H5" s="244"/>
      <c r="I5" s="194" t="s">
        <v>285</v>
      </c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6"/>
      <c r="AC5" s="197"/>
      <c r="AD5" s="257" t="s">
        <v>6</v>
      </c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9"/>
      <c r="AS5" s="210" t="str">
        <f>IF($AZ$2=$BH$3,$BJ$3,$BJ$2)</f>
        <v>舒勒</v>
      </c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168"/>
      <c r="BE5" s="168"/>
      <c r="BF5" s="209"/>
      <c r="BH5" s="17" t="s">
        <v>217</v>
      </c>
      <c r="BI5" s="98"/>
      <c r="BK5" s="17" t="s">
        <v>131</v>
      </c>
      <c r="BL5" s="17" t="s">
        <v>137</v>
      </c>
      <c r="BN5" s="95" t="s">
        <v>200</v>
      </c>
      <c r="BO5" s="95" t="s">
        <v>210</v>
      </c>
    </row>
    <row r="6" spans="1:70" ht="27" customHeight="1">
      <c r="A6" s="242" t="s">
        <v>7</v>
      </c>
      <c r="B6" s="243"/>
      <c r="C6" s="243"/>
      <c r="D6" s="243"/>
      <c r="E6" s="243"/>
      <c r="F6" s="243"/>
      <c r="G6" s="243"/>
      <c r="H6" s="244"/>
      <c r="I6" s="194" t="s">
        <v>274</v>
      </c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6"/>
      <c r="AC6" s="197"/>
      <c r="AD6" s="167" t="s">
        <v>78</v>
      </c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9"/>
      <c r="AS6" s="212">
        <v>12</v>
      </c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168" t="s">
        <v>115</v>
      </c>
      <c r="BE6" s="168"/>
      <c r="BF6" s="209"/>
      <c r="BH6" s="17" t="s">
        <v>218</v>
      </c>
      <c r="BK6" s="17" t="s">
        <v>132</v>
      </c>
      <c r="BL6" s="17" t="s">
        <v>138</v>
      </c>
      <c r="BN6" s="95" t="s">
        <v>201</v>
      </c>
      <c r="BO6" s="95" t="s">
        <v>108</v>
      </c>
    </row>
    <row r="7" spans="1:70" ht="27" customHeight="1">
      <c r="A7" s="242" t="s">
        <v>9</v>
      </c>
      <c r="B7" s="243"/>
      <c r="C7" s="243"/>
      <c r="D7" s="243"/>
      <c r="E7" s="243"/>
      <c r="F7" s="243"/>
      <c r="G7" s="243"/>
      <c r="H7" s="244"/>
      <c r="I7" s="194">
        <v>40</v>
      </c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 t="s">
        <v>10</v>
      </c>
      <c r="AC7" s="197"/>
      <c r="AD7" s="167" t="s">
        <v>76</v>
      </c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9"/>
      <c r="AS7" s="212">
        <v>4</v>
      </c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168" t="s">
        <v>116</v>
      </c>
      <c r="BE7" s="168"/>
      <c r="BF7" s="209"/>
      <c r="BH7" s="17" t="s">
        <v>219</v>
      </c>
      <c r="BL7" s="17" t="s">
        <v>249</v>
      </c>
      <c r="BN7" s="95" t="s">
        <v>202</v>
      </c>
    </row>
    <row r="8" spans="1:70" ht="27" customHeight="1">
      <c r="A8" s="192" t="s">
        <v>11</v>
      </c>
      <c r="B8" s="193"/>
      <c r="C8" s="193"/>
      <c r="D8" s="193"/>
      <c r="E8" s="193"/>
      <c r="F8" s="193"/>
      <c r="G8" s="193"/>
      <c r="H8" s="193"/>
      <c r="I8" s="298">
        <v>20</v>
      </c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196" t="s">
        <v>10</v>
      </c>
      <c r="AC8" s="197"/>
      <c r="AD8" s="167" t="s">
        <v>12</v>
      </c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9"/>
      <c r="AS8" s="212">
        <v>8</v>
      </c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168" t="s">
        <v>118</v>
      </c>
      <c r="BE8" s="168"/>
      <c r="BF8" s="209"/>
      <c r="BH8" s="17" t="s">
        <v>220</v>
      </c>
      <c r="BL8" s="17" t="s">
        <v>139</v>
      </c>
      <c r="BN8" s="95" t="s">
        <v>203</v>
      </c>
    </row>
    <row r="9" spans="1:70" ht="27" customHeight="1">
      <c r="A9" s="198" t="s">
        <v>13</v>
      </c>
      <c r="B9" s="199"/>
      <c r="C9" s="199"/>
      <c r="D9" s="199"/>
      <c r="E9" s="199"/>
      <c r="F9" s="199"/>
      <c r="G9" s="199"/>
      <c r="H9" s="200"/>
      <c r="I9" s="201">
        <v>1377.5</v>
      </c>
      <c r="J9" s="202"/>
      <c r="K9" s="202"/>
      <c r="L9" s="202"/>
      <c r="M9" s="202"/>
      <c r="N9" s="202"/>
      <c r="O9" s="202"/>
      <c r="P9" s="202"/>
      <c r="Q9" s="202"/>
      <c r="R9" s="202"/>
      <c r="S9" s="214" t="s">
        <v>257</v>
      </c>
      <c r="T9" s="214"/>
      <c r="U9" s="214"/>
      <c r="V9" s="214"/>
      <c r="W9" s="214"/>
      <c r="X9" s="214"/>
      <c r="Y9" s="214"/>
      <c r="Z9" s="214"/>
      <c r="AA9" s="214"/>
      <c r="AB9" s="196" t="s">
        <v>114</v>
      </c>
      <c r="AC9" s="197"/>
      <c r="AD9" s="167" t="s">
        <v>34</v>
      </c>
      <c r="AE9" s="168"/>
      <c r="AF9" s="168" t="s">
        <v>8</v>
      </c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9"/>
      <c r="AS9" s="210" t="str">
        <f>IF(AND($AZ$2="6-300",$AZ$3="OP40"),"1800","1200")</f>
        <v>1200</v>
      </c>
      <c r="AT9" s="211"/>
      <c r="AU9" s="211"/>
      <c r="AV9" s="211"/>
      <c r="AW9" s="211"/>
      <c r="AX9" s="211"/>
      <c r="AY9" s="211"/>
      <c r="AZ9" s="211"/>
      <c r="BA9" s="211"/>
      <c r="BB9" s="211"/>
      <c r="BC9" s="211"/>
      <c r="BD9" s="168" t="s">
        <v>46</v>
      </c>
      <c r="BE9" s="168"/>
      <c r="BF9" s="209"/>
      <c r="BH9" s="17" t="s">
        <v>221</v>
      </c>
      <c r="BN9" s="95" t="s">
        <v>204</v>
      </c>
    </row>
    <row r="10" spans="1:70" ht="27" customHeight="1">
      <c r="A10" s="205" t="s">
        <v>14</v>
      </c>
      <c r="B10" s="206"/>
      <c r="C10" s="206"/>
      <c r="D10" s="206"/>
      <c r="E10" s="206"/>
      <c r="F10" s="206"/>
      <c r="G10" s="206"/>
      <c r="H10" s="207"/>
      <c r="I10" s="201">
        <v>1400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14"/>
      <c r="T10" s="214"/>
      <c r="U10" s="214"/>
      <c r="V10" s="214"/>
      <c r="W10" s="214"/>
      <c r="X10" s="214"/>
      <c r="Y10" s="214"/>
      <c r="Z10" s="214"/>
      <c r="AA10" s="214"/>
      <c r="AB10" s="196" t="s">
        <v>114</v>
      </c>
      <c r="AC10" s="197"/>
      <c r="AD10" s="167" t="s">
        <v>35</v>
      </c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9"/>
      <c r="AS10" s="167" t="s">
        <v>250</v>
      </c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 t="s">
        <v>215</v>
      </c>
      <c r="BE10" s="168"/>
      <c r="BF10" s="209"/>
      <c r="BN10" s="95" t="s">
        <v>205</v>
      </c>
    </row>
    <row r="11" spans="1:70" ht="20.100000000000001" customHeight="1">
      <c r="A11" s="19"/>
      <c r="B11" s="20"/>
      <c r="C11" s="20"/>
      <c r="D11" s="20"/>
      <c r="E11" s="20"/>
      <c r="F11" s="3"/>
      <c r="G11" s="274">
        <v>-7</v>
      </c>
      <c r="H11" s="274"/>
      <c r="I11" s="274">
        <v>-6</v>
      </c>
      <c r="J11" s="274"/>
      <c r="K11" s="274">
        <v>-5</v>
      </c>
      <c r="L11" s="274"/>
      <c r="M11" s="274">
        <v>-4</v>
      </c>
      <c r="N11" s="274"/>
      <c r="O11" s="274">
        <v>-3</v>
      </c>
      <c r="P11" s="274"/>
      <c r="Q11" s="274">
        <v>-2</v>
      </c>
      <c r="R11" s="274"/>
      <c r="S11" s="274">
        <v>-1</v>
      </c>
      <c r="T11" s="274"/>
      <c r="U11" s="4">
        <v>0</v>
      </c>
      <c r="V11" s="274">
        <v>1</v>
      </c>
      <c r="W11" s="274"/>
      <c r="X11" s="274">
        <v>2</v>
      </c>
      <c r="Y11" s="274"/>
      <c r="Z11" s="274">
        <v>3</v>
      </c>
      <c r="AA11" s="274"/>
      <c r="AB11" s="274">
        <v>4</v>
      </c>
      <c r="AC11" s="274"/>
      <c r="AD11" s="274">
        <v>5</v>
      </c>
      <c r="AE11" s="274"/>
      <c r="AF11" s="274">
        <v>6</v>
      </c>
      <c r="AG11" s="274"/>
      <c r="AH11" s="274">
        <v>7</v>
      </c>
      <c r="AI11" s="274"/>
      <c r="AJ11" s="5"/>
      <c r="AK11" s="21"/>
      <c r="AL11" s="21"/>
      <c r="AM11" s="21"/>
      <c r="AN11" s="20"/>
      <c r="AO11" s="20"/>
      <c r="AP11" s="20"/>
      <c r="AQ11" s="20"/>
      <c r="AR11" s="20"/>
      <c r="AS11" s="20"/>
      <c r="AT11" s="38"/>
      <c r="AU11" s="38" t="s">
        <v>15</v>
      </c>
      <c r="AV11" s="38"/>
      <c r="AW11" s="90"/>
      <c r="AX11" s="119" t="s">
        <v>16</v>
      </c>
      <c r="AY11" s="38" t="s">
        <v>17</v>
      </c>
      <c r="AZ11" s="38"/>
      <c r="BA11" s="37"/>
      <c r="BB11" s="90"/>
      <c r="BC11" s="37"/>
      <c r="BD11" s="38"/>
      <c r="BE11" s="38"/>
      <c r="BF11" s="84"/>
      <c r="BN11" s="95" t="s">
        <v>206</v>
      </c>
    </row>
    <row r="12" spans="1:70" ht="20.100000000000001" customHeight="1">
      <c r="A12" s="19"/>
      <c r="B12" s="20"/>
      <c r="C12" s="20"/>
      <c r="D12" s="20"/>
      <c r="E12" s="20"/>
      <c r="F12" s="6"/>
      <c r="G12" s="88"/>
      <c r="H12" s="103"/>
      <c r="I12" s="104"/>
      <c r="J12" s="103"/>
      <c r="K12" s="104"/>
      <c r="L12" s="7"/>
      <c r="M12" s="125" t="s">
        <v>32</v>
      </c>
      <c r="N12" s="106"/>
      <c r="O12" s="107"/>
      <c r="P12" s="7"/>
      <c r="Q12" s="107"/>
      <c r="R12" s="7"/>
      <c r="S12" s="88"/>
      <c r="T12" s="7"/>
      <c r="U12" s="7"/>
      <c r="V12" s="88"/>
      <c r="W12" s="7"/>
      <c r="X12" s="88"/>
      <c r="Y12" s="108"/>
      <c r="Z12" s="88"/>
      <c r="AA12" s="108"/>
      <c r="AB12" s="88"/>
      <c r="AC12" s="126" t="s">
        <v>32</v>
      </c>
      <c r="AD12" s="88"/>
      <c r="AE12" s="108"/>
      <c r="AF12" s="88"/>
      <c r="AG12" s="7"/>
      <c r="AH12" s="88"/>
      <c r="AI12" s="7"/>
      <c r="AJ12" s="6"/>
      <c r="AK12" s="21"/>
      <c r="AL12" s="21"/>
      <c r="AM12" s="21"/>
      <c r="AN12" s="20"/>
      <c r="AO12" s="20"/>
      <c r="AP12" s="20"/>
      <c r="AQ12" s="20"/>
      <c r="AR12" s="20"/>
      <c r="AS12" s="20"/>
      <c r="AT12" s="22"/>
      <c r="AU12" s="22"/>
      <c r="AV12" s="22"/>
      <c r="AW12" s="76"/>
      <c r="AX12" s="120" t="s">
        <v>32</v>
      </c>
      <c r="AY12" s="22" t="s">
        <v>225</v>
      </c>
      <c r="AZ12" s="76"/>
      <c r="BA12" s="76"/>
      <c r="BB12" s="76"/>
      <c r="BC12" s="76"/>
      <c r="BD12" s="22"/>
      <c r="BE12" s="22"/>
      <c r="BF12" s="25"/>
    </row>
    <row r="13" spans="1:70" ht="20.100000000000001" customHeight="1">
      <c r="A13" s="19"/>
      <c r="B13" s="151" t="s">
        <v>85</v>
      </c>
      <c r="C13" s="151"/>
      <c r="D13" s="20"/>
      <c r="E13" s="20"/>
      <c r="F13" s="6"/>
      <c r="G13" s="89"/>
      <c r="H13" s="103"/>
      <c r="I13" s="104"/>
      <c r="J13" s="126" t="s">
        <v>266</v>
      </c>
      <c r="K13" s="125" t="s">
        <v>32</v>
      </c>
      <c r="L13" s="126" t="s">
        <v>32</v>
      </c>
      <c r="M13" s="125" t="s">
        <v>32</v>
      </c>
      <c r="N13" s="106"/>
      <c r="O13" s="125" t="s">
        <v>32</v>
      </c>
      <c r="P13" s="126" t="s">
        <v>32</v>
      </c>
      <c r="Q13" s="107"/>
      <c r="R13" s="7"/>
      <c r="S13" s="88"/>
      <c r="T13" s="7"/>
      <c r="U13" s="7"/>
      <c r="V13" s="88"/>
      <c r="W13" s="7"/>
      <c r="X13" s="88"/>
      <c r="Y13" s="108"/>
      <c r="Z13" s="125" t="s">
        <v>32</v>
      </c>
      <c r="AA13" s="126" t="s">
        <v>32</v>
      </c>
      <c r="AB13" s="88"/>
      <c r="AC13" s="126" t="s">
        <v>32</v>
      </c>
      <c r="AD13" s="125" t="s">
        <v>32</v>
      </c>
      <c r="AE13" s="126" t="s">
        <v>32</v>
      </c>
      <c r="AF13" s="125" t="s">
        <v>266</v>
      </c>
      <c r="AG13" s="7"/>
      <c r="AH13" s="88"/>
      <c r="AI13" s="40"/>
      <c r="AJ13" s="6"/>
      <c r="AK13" s="6"/>
      <c r="AL13" s="21"/>
      <c r="AM13" s="21"/>
      <c r="AN13" s="20"/>
      <c r="AO13" s="20"/>
      <c r="AP13" s="20"/>
      <c r="AQ13" s="20"/>
      <c r="AR13" s="20"/>
      <c r="AS13" s="20"/>
      <c r="AT13" s="20"/>
      <c r="AU13" s="20"/>
      <c r="AV13" s="20"/>
      <c r="AW13" s="76"/>
      <c r="AX13" s="76"/>
      <c r="AY13" s="76"/>
      <c r="AZ13" s="76"/>
      <c r="BA13" s="76"/>
      <c r="BB13" s="76"/>
      <c r="BC13" s="76"/>
      <c r="BD13" s="20"/>
      <c r="BE13" s="20"/>
      <c r="BF13" s="26"/>
    </row>
    <row r="14" spans="1:70" ht="20.100000000000001" customHeight="1">
      <c r="A14" s="19"/>
      <c r="B14" s="151"/>
      <c r="C14" s="151"/>
      <c r="D14" s="20"/>
      <c r="E14" s="20"/>
      <c r="F14" s="6"/>
      <c r="G14" s="89"/>
      <c r="H14" s="103"/>
      <c r="I14" s="104"/>
      <c r="J14" s="126" t="s">
        <v>32</v>
      </c>
      <c r="K14" s="105"/>
      <c r="L14" s="7"/>
      <c r="M14" s="7"/>
      <c r="N14" s="106"/>
      <c r="O14" s="107"/>
      <c r="P14" s="126" t="s">
        <v>32</v>
      </c>
      <c r="Q14" s="107"/>
      <c r="R14" s="7"/>
      <c r="S14" s="88"/>
      <c r="T14" s="126" t="s">
        <v>32</v>
      </c>
      <c r="U14" s="7"/>
      <c r="V14" s="125" t="s">
        <v>32</v>
      </c>
      <c r="W14" s="7"/>
      <c r="X14" s="88"/>
      <c r="Y14" s="108"/>
      <c r="Z14" s="125" t="s">
        <v>32</v>
      </c>
      <c r="AA14" s="108"/>
      <c r="AB14" s="88"/>
      <c r="AC14" s="108"/>
      <c r="AD14" s="88"/>
      <c r="AE14" s="111"/>
      <c r="AF14" s="125" t="s">
        <v>32</v>
      </c>
      <c r="AG14" s="7"/>
      <c r="AH14" s="88"/>
      <c r="AI14" s="40"/>
      <c r="AJ14" s="6"/>
      <c r="AK14" s="6"/>
      <c r="AL14" s="21"/>
      <c r="AM14" s="21"/>
      <c r="AN14" s="20"/>
      <c r="AO14" s="20"/>
      <c r="AP14" s="20"/>
      <c r="AQ14" s="20"/>
      <c r="AR14" s="20"/>
      <c r="AS14" s="20"/>
      <c r="AT14" s="20"/>
      <c r="AU14" s="20"/>
      <c r="AV14" s="20"/>
      <c r="AW14" s="76"/>
      <c r="AX14" s="76"/>
      <c r="AY14" s="76"/>
      <c r="AZ14" s="76"/>
      <c r="BA14" s="76"/>
      <c r="BB14" s="76"/>
      <c r="BC14" s="76"/>
      <c r="BD14" s="20"/>
      <c r="BE14" s="20"/>
      <c r="BF14" s="26"/>
    </row>
    <row r="15" spans="1:70" ht="20.100000000000001" customHeight="1">
      <c r="A15" s="19"/>
      <c r="B15" s="151"/>
      <c r="C15" s="151"/>
      <c r="D15" s="20"/>
      <c r="E15" s="20"/>
      <c r="F15" s="6"/>
      <c r="G15" s="89"/>
      <c r="H15" s="103"/>
      <c r="I15" s="104"/>
      <c r="J15" s="103"/>
      <c r="K15" s="104"/>
      <c r="L15" s="7"/>
      <c r="M15" s="7"/>
      <c r="N15" s="106"/>
      <c r="O15" s="107"/>
      <c r="P15" s="7"/>
      <c r="Q15" s="107"/>
      <c r="R15" s="7"/>
      <c r="S15" s="88"/>
      <c r="T15" s="7"/>
      <c r="U15" s="7"/>
      <c r="V15" s="88"/>
      <c r="W15" s="7"/>
      <c r="X15" s="88"/>
      <c r="Y15" s="108"/>
      <c r="Z15" s="88"/>
      <c r="AA15" s="108"/>
      <c r="AB15" s="88"/>
      <c r="AC15" s="108"/>
      <c r="AD15" s="88"/>
      <c r="AE15" s="108"/>
      <c r="AF15" s="88"/>
      <c r="AG15" s="7"/>
      <c r="AH15" s="88"/>
      <c r="AI15" s="40"/>
      <c r="AJ15" s="6"/>
      <c r="AK15" s="6"/>
      <c r="AL15" s="21"/>
      <c r="AM15" s="21"/>
      <c r="AN15" s="20"/>
      <c r="AO15" s="20"/>
      <c r="AP15" s="20"/>
      <c r="AQ15" s="20"/>
      <c r="AR15" s="20"/>
      <c r="AS15" s="20"/>
      <c r="AT15" s="20"/>
      <c r="AU15" s="20"/>
      <c r="AV15" s="20"/>
      <c r="AW15" s="76"/>
      <c r="AX15" s="76"/>
      <c r="AY15" s="76"/>
      <c r="AZ15" s="76"/>
      <c r="BA15" s="76"/>
      <c r="BB15" s="76"/>
      <c r="BC15" s="76"/>
      <c r="BD15" s="20"/>
      <c r="BE15" s="20"/>
      <c r="BF15" s="26"/>
    </row>
    <row r="16" spans="1:70" ht="20.100000000000001" customHeight="1">
      <c r="A16" s="19"/>
      <c r="B16" s="151"/>
      <c r="C16" s="151"/>
      <c r="D16" s="20"/>
      <c r="E16" s="20"/>
      <c r="F16" s="6"/>
      <c r="G16" s="89"/>
      <c r="H16" s="103"/>
      <c r="I16" s="104"/>
      <c r="J16" s="103"/>
      <c r="K16" s="104"/>
      <c r="L16" s="7"/>
      <c r="M16" s="7"/>
      <c r="N16" s="106"/>
      <c r="O16" s="107"/>
      <c r="P16" s="109"/>
      <c r="Q16" s="107"/>
      <c r="R16" s="7"/>
      <c r="S16" s="88"/>
      <c r="T16" s="7"/>
      <c r="U16" s="7"/>
      <c r="V16" s="88"/>
      <c r="W16" s="7"/>
      <c r="X16" s="88"/>
      <c r="Y16" s="108"/>
      <c r="Z16" s="89"/>
      <c r="AA16" s="108"/>
      <c r="AB16" s="88"/>
      <c r="AC16" s="108"/>
      <c r="AD16" s="88"/>
      <c r="AE16" s="108"/>
      <c r="AF16" s="88"/>
      <c r="AG16" s="7"/>
      <c r="AH16" s="88"/>
      <c r="AI16" s="40"/>
      <c r="AJ16" s="6"/>
      <c r="AK16" s="6"/>
      <c r="AL16" s="21"/>
      <c r="AM16" s="204" t="s">
        <v>20</v>
      </c>
      <c r="AN16" s="20"/>
      <c r="AO16" s="20"/>
      <c r="AP16" s="20"/>
      <c r="AQ16" s="20"/>
      <c r="AR16" s="20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85"/>
    </row>
    <row r="17" spans="1:58" ht="20.100000000000001" customHeight="1">
      <c r="A17" s="19"/>
      <c r="B17" s="151"/>
      <c r="C17" s="151"/>
      <c r="D17" s="20"/>
      <c r="E17" s="20"/>
      <c r="F17" s="6"/>
      <c r="G17" s="40"/>
      <c r="H17" s="103"/>
      <c r="I17" s="103"/>
      <c r="J17" s="103"/>
      <c r="K17" s="10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0"/>
      <c r="AJ17" s="6"/>
      <c r="AK17" s="6"/>
      <c r="AL17" s="21"/>
      <c r="AM17" s="204"/>
      <c r="AN17" s="20"/>
      <c r="AO17" s="20"/>
      <c r="AP17" s="20"/>
      <c r="AQ17" s="20"/>
      <c r="AR17" s="20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85"/>
    </row>
    <row r="18" spans="1:58" ht="20.100000000000001" customHeight="1">
      <c r="A18" s="19"/>
      <c r="B18" s="151"/>
      <c r="C18" s="151"/>
      <c r="D18" s="20"/>
      <c r="E18" s="20"/>
      <c r="F18" s="6"/>
      <c r="G18" s="40"/>
      <c r="H18" s="103"/>
      <c r="I18" s="103"/>
      <c r="J18" s="103"/>
      <c r="K18" s="103"/>
      <c r="L18" s="20"/>
      <c r="M18" s="2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40"/>
      <c r="AJ18" s="6"/>
      <c r="AK18" s="6"/>
      <c r="AL18" s="21"/>
      <c r="AM18" s="204"/>
      <c r="AN18" s="20"/>
      <c r="AO18" s="20"/>
      <c r="AP18" s="20"/>
      <c r="AQ18" s="20"/>
      <c r="AR18" s="20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85"/>
    </row>
    <row r="19" spans="1:58" ht="20.100000000000001" customHeight="1">
      <c r="A19" s="19"/>
      <c r="B19" s="151"/>
      <c r="C19" s="151"/>
      <c r="D19" s="20"/>
      <c r="E19" s="20"/>
      <c r="F19" s="6"/>
      <c r="G19" s="40"/>
      <c r="H19" s="103"/>
      <c r="I19" s="103"/>
      <c r="J19" s="103"/>
      <c r="K19" s="40"/>
      <c r="L19" s="20"/>
      <c r="M19" s="20"/>
      <c r="N19" s="7"/>
      <c r="O19" s="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0"/>
      <c r="AB19" s="7"/>
      <c r="AE19" s="40"/>
      <c r="AF19" s="7"/>
      <c r="AG19" s="7"/>
      <c r="AH19" s="7"/>
      <c r="AI19" s="40"/>
      <c r="AJ19" s="6"/>
      <c r="AK19" s="6"/>
      <c r="AL19" s="21"/>
      <c r="AM19" s="208" t="s">
        <v>48</v>
      </c>
      <c r="AN19" s="20"/>
      <c r="AO19" s="27"/>
      <c r="AP19" s="22"/>
      <c r="AQ19" s="22"/>
      <c r="AR19" s="22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85"/>
    </row>
    <row r="20" spans="1:58" ht="20.100000000000001" customHeight="1">
      <c r="A20" s="19"/>
      <c r="B20" s="151"/>
      <c r="C20" s="151"/>
      <c r="D20" s="20"/>
      <c r="E20" s="20"/>
      <c r="F20" s="6"/>
      <c r="G20" s="40"/>
      <c r="H20" s="103"/>
      <c r="I20" s="103"/>
      <c r="J20" s="103"/>
      <c r="K20" s="103"/>
      <c r="L20" s="20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40"/>
      <c r="AJ20" s="6"/>
      <c r="AK20" s="6"/>
      <c r="AL20" s="21"/>
      <c r="AM20" s="208"/>
      <c r="AN20" s="20"/>
      <c r="AO20" s="22"/>
      <c r="AP20" s="22"/>
      <c r="AQ20" s="22"/>
      <c r="AR20" s="22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85"/>
    </row>
    <row r="21" spans="1:58" ht="20.100000000000001" customHeight="1">
      <c r="A21" s="19"/>
      <c r="B21" s="151"/>
      <c r="C21" s="151"/>
      <c r="D21" s="20"/>
      <c r="E21" s="20"/>
      <c r="F21" s="6"/>
      <c r="G21" s="40"/>
      <c r="H21" s="103"/>
      <c r="I21" s="103"/>
      <c r="J21" s="103"/>
      <c r="K21" s="10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40"/>
      <c r="AJ21" s="6"/>
      <c r="AK21" s="6"/>
      <c r="AL21" s="21"/>
      <c r="AM21" s="208"/>
      <c r="AN21" s="20"/>
      <c r="AO21" s="28"/>
      <c r="AP21" s="28"/>
      <c r="AQ21" s="28"/>
      <c r="AR21" s="28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85"/>
    </row>
    <row r="22" spans="1:58" ht="20.100000000000001" customHeight="1">
      <c r="A22" s="19"/>
      <c r="B22" s="151"/>
      <c r="C22" s="151"/>
      <c r="D22" s="20"/>
      <c r="E22" s="20"/>
      <c r="F22" s="6"/>
      <c r="G22" s="89"/>
      <c r="H22" s="103"/>
      <c r="I22" s="104"/>
      <c r="J22" s="103"/>
      <c r="K22" s="104"/>
      <c r="L22" s="7"/>
      <c r="M22" s="7"/>
      <c r="N22" s="106"/>
      <c r="O22" s="107"/>
      <c r="P22" s="109"/>
      <c r="Q22" s="107"/>
      <c r="R22" s="7"/>
      <c r="S22" s="88"/>
      <c r="T22" s="7"/>
      <c r="U22" s="7"/>
      <c r="V22" s="88"/>
      <c r="W22" s="7"/>
      <c r="X22" s="88"/>
      <c r="Y22" s="108"/>
      <c r="Z22" s="89"/>
      <c r="AA22" s="108"/>
      <c r="AB22" s="88"/>
      <c r="AC22" s="108"/>
      <c r="AD22" s="88"/>
      <c r="AE22" s="108"/>
      <c r="AF22" s="88"/>
      <c r="AG22" s="7"/>
      <c r="AH22" s="88"/>
      <c r="AI22" s="40"/>
      <c r="AJ22" s="6"/>
      <c r="AK22" s="6"/>
      <c r="AL22" s="21"/>
      <c r="AM22" s="208"/>
      <c r="AN22" s="20"/>
      <c r="AO22" s="28"/>
      <c r="AP22" s="28"/>
      <c r="AQ22" s="28"/>
      <c r="AR22" s="28"/>
      <c r="AS22" s="20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85"/>
    </row>
    <row r="23" spans="1:58" ht="20.100000000000001" customHeight="1">
      <c r="A23" s="19"/>
      <c r="B23" s="151"/>
      <c r="C23" s="151"/>
      <c r="D23" s="20"/>
      <c r="E23" s="20"/>
      <c r="F23" s="6"/>
      <c r="G23" s="89"/>
      <c r="H23" s="103"/>
      <c r="I23" s="104"/>
      <c r="J23" s="103"/>
      <c r="K23" s="104"/>
      <c r="L23" s="7"/>
      <c r="M23" s="7"/>
      <c r="N23" s="106"/>
      <c r="O23" s="107"/>
      <c r="P23" s="7"/>
      <c r="Q23" s="107"/>
      <c r="R23" s="7"/>
      <c r="S23" s="88"/>
      <c r="T23" s="7"/>
      <c r="U23" s="7"/>
      <c r="V23" s="88"/>
      <c r="W23" s="7"/>
      <c r="X23" s="88"/>
      <c r="Y23" s="108"/>
      <c r="Z23" s="88"/>
      <c r="AA23" s="108"/>
      <c r="AB23" s="88"/>
      <c r="AC23" s="108"/>
      <c r="AD23" s="88"/>
      <c r="AE23" s="108"/>
      <c r="AF23" s="88"/>
      <c r="AG23" s="7"/>
      <c r="AH23" s="88"/>
      <c r="AI23" s="40"/>
      <c r="AJ23" s="6"/>
      <c r="AK23" s="6"/>
      <c r="AL23" s="21"/>
      <c r="AM23" s="208"/>
      <c r="AN23" s="20"/>
      <c r="AO23" s="28"/>
      <c r="AP23" s="28"/>
      <c r="AQ23" s="28"/>
      <c r="AR23" s="28"/>
      <c r="AS23" s="20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85"/>
    </row>
    <row r="24" spans="1:58" ht="20.100000000000001" customHeight="1">
      <c r="A24" s="19"/>
      <c r="B24" s="151"/>
      <c r="C24" s="151"/>
      <c r="D24" s="20"/>
      <c r="E24" s="20"/>
      <c r="F24" s="6"/>
      <c r="G24" s="89"/>
      <c r="H24" s="103"/>
      <c r="I24" s="104"/>
      <c r="J24" s="126" t="s">
        <v>32</v>
      </c>
      <c r="K24" s="105"/>
      <c r="L24" s="7"/>
      <c r="M24" s="7"/>
      <c r="N24" s="106"/>
      <c r="O24" s="107"/>
      <c r="P24" s="126" t="s">
        <v>32</v>
      </c>
      <c r="Q24" s="107"/>
      <c r="R24" s="7"/>
      <c r="S24" s="88"/>
      <c r="T24" s="126" t="s">
        <v>32</v>
      </c>
      <c r="U24" s="7"/>
      <c r="V24" s="125" t="s">
        <v>32</v>
      </c>
      <c r="W24" s="7"/>
      <c r="X24" s="88"/>
      <c r="Y24" s="108"/>
      <c r="Z24" s="125" t="s">
        <v>32</v>
      </c>
      <c r="AA24" s="108"/>
      <c r="AB24" s="88"/>
      <c r="AC24" s="108"/>
      <c r="AD24" s="88"/>
      <c r="AE24" s="108"/>
      <c r="AF24" s="125" t="s">
        <v>224</v>
      </c>
      <c r="AG24" s="7"/>
      <c r="AH24" s="88"/>
      <c r="AI24" s="40"/>
      <c r="AJ24" s="6"/>
      <c r="AK24" s="6"/>
      <c r="AL24" s="21"/>
      <c r="AM24" s="21"/>
      <c r="AN24" s="20"/>
      <c r="AO24" s="28"/>
      <c r="AP24" s="28"/>
      <c r="AQ24" s="28"/>
      <c r="AR24" s="28"/>
      <c r="AS24" s="20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85"/>
    </row>
    <row r="25" spans="1:58" ht="20.100000000000001" customHeight="1">
      <c r="A25" s="19"/>
      <c r="B25" s="20"/>
      <c r="C25" s="20"/>
      <c r="D25" s="20"/>
      <c r="E25" s="20"/>
      <c r="F25" s="6"/>
      <c r="G25" s="89"/>
      <c r="H25" s="103"/>
      <c r="I25" s="104"/>
      <c r="J25" s="126" t="s">
        <v>266</v>
      </c>
      <c r="K25" s="125" t="s">
        <v>32</v>
      </c>
      <c r="L25" s="126" t="s">
        <v>32</v>
      </c>
      <c r="M25" s="125" t="s">
        <v>32</v>
      </c>
      <c r="N25" s="106"/>
      <c r="O25" s="125" t="s">
        <v>32</v>
      </c>
      <c r="P25" s="126" t="s">
        <v>32</v>
      </c>
      <c r="Q25" s="107"/>
      <c r="R25" s="7"/>
      <c r="S25" s="88"/>
      <c r="T25" s="7"/>
      <c r="U25" s="7"/>
      <c r="V25" s="88"/>
      <c r="W25" s="7"/>
      <c r="X25" s="88"/>
      <c r="Y25" s="108"/>
      <c r="Z25" s="125" t="s">
        <v>32</v>
      </c>
      <c r="AA25" s="126" t="s">
        <v>32</v>
      </c>
      <c r="AB25" s="88"/>
      <c r="AC25" s="126" t="s">
        <v>32</v>
      </c>
      <c r="AD25" s="125" t="s">
        <v>32</v>
      </c>
      <c r="AE25" s="126" t="s">
        <v>32</v>
      </c>
      <c r="AF25" s="125" t="s">
        <v>266</v>
      </c>
      <c r="AG25" s="7"/>
      <c r="AH25" s="88"/>
      <c r="AI25" s="40"/>
      <c r="AJ25" s="6"/>
      <c r="AK25" s="6"/>
      <c r="AL25" s="21"/>
      <c r="AM25" s="21"/>
      <c r="AN25" s="20"/>
      <c r="AO25" s="28"/>
      <c r="AP25" s="28"/>
      <c r="AQ25" s="28"/>
      <c r="AR25" s="28"/>
      <c r="AS25" s="20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85"/>
    </row>
    <row r="26" spans="1:58" ht="20.100000000000001" customHeight="1">
      <c r="A26" s="19"/>
      <c r="B26" s="20"/>
      <c r="C26" s="20"/>
      <c r="D26" s="20"/>
      <c r="E26" s="20"/>
      <c r="F26" s="6"/>
      <c r="G26" s="88"/>
      <c r="H26" s="103"/>
      <c r="I26" s="104"/>
      <c r="J26" s="103"/>
      <c r="K26" s="104"/>
      <c r="L26" s="7"/>
      <c r="M26" s="125" t="s">
        <v>32</v>
      </c>
      <c r="N26" s="106"/>
      <c r="O26" s="107"/>
      <c r="P26" s="7"/>
      <c r="Q26" s="107"/>
      <c r="R26" s="7"/>
      <c r="S26" s="88"/>
      <c r="T26" s="7"/>
      <c r="U26" s="7"/>
      <c r="V26" s="88"/>
      <c r="W26" s="7"/>
      <c r="X26" s="88"/>
      <c r="Y26" s="108"/>
      <c r="Z26" s="88"/>
      <c r="AA26" s="108"/>
      <c r="AB26" s="88"/>
      <c r="AC26" s="126" t="s">
        <v>32</v>
      </c>
      <c r="AD26" s="88"/>
      <c r="AE26" s="108"/>
      <c r="AF26" s="88"/>
      <c r="AG26" s="7"/>
      <c r="AH26" s="88"/>
      <c r="AI26" s="7"/>
      <c r="AJ26" s="6"/>
      <c r="AK26" s="6"/>
      <c r="AL26" s="21"/>
      <c r="AM26" s="21"/>
      <c r="AN26" s="20"/>
      <c r="AO26" s="28"/>
      <c r="AP26" s="28"/>
      <c r="AQ26" s="28"/>
      <c r="AR26" s="28"/>
      <c r="AS26" s="20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85"/>
    </row>
    <row r="27" spans="1:58" ht="20.100000000000001" customHeight="1">
      <c r="A27" s="19"/>
      <c r="B27" s="20"/>
      <c r="C27" s="20"/>
      <c r="D27" s="20"/>
      <c r="E27" s="20"/>
      <c r="F27" s="8"/>
      <c r="G27" s="273">
        <v>-7</v>
      </c>
      <c r="H27" s="273"/>
      <c r="I27" s="273">
        <v>-6</v>
      </c>
      <c r="J27" s="273"/>
      <c r="K27" s="273">
        <v>-5</v>
      </c>
      <c r="L27" s="273"/>
      <c r="M27" s="273">
        <v>-4</v>
      </c>
      <c r="N27" s="273"/>
      <c r="O27" s="273">
        <v>-3</v>
      </c>
      <c r="P27" s="273"/>
      <c r="Q27" s="273">
        <v>-2</v>
      </c>
      <c r="R27" s="273"/>
      <c r="S27" s="273">
        <v>-1</v>
      </c>
      <c r="T27" s="273"/>
      <c r="U27" s="143">
        <v>0</v>
      </c>
      <c r="V27" s="273">
        <v>1</v>
      </c>
      <c r="W27" s="273"/>
      <c r="X27" s="273">
        <v>2</v>
      </c>
      <c r="Y27" s="273"/>
      <c r="Z27" s="273">
        <v>3</v>
      </c>
      <c r="AA27" s="273"/>
      <c r="AB27" s="273">
        <v>4</v>
      </c>
      <c r="AC27" s="273"/>
      <c r="AD27" s="273">
        <v>5</v>
      </c>
      <c r="AE27" s="273"/>
      <c r="AF27" s="273">
        <v>6</v>
      </c>
      <c r="AG27" s="273"/>
      <c r="AH27" s="273">
        <v>7</v>
      </c>
      <c r="AI27" s="273"/>
      <c r="AJ27" s="11"/>
      <c r="AK27" s="29"/>
      <c r="AL27" s="29"/>
      <c r="AM27" s="29"/>
      <c r="AN27" s="30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92"/>
    </row>
    <row r="28" spans="1:58" ht="20.100000000000001" customHeight="1">
      <c r="A28" s="32"/>
      <c r="B28" s="33"/>
      <c r="C28" s="33"/>
      <c r="D28" s="33"/>
      <c r="E28" s="33"/>
      <c r="F28" s="34"/>
      <c r="G28" s="78"/>
      <c r="H28" s="35">
        <v>-13</v>
      </c>
      <c r="I28" s="35">
        <v>-12</v>
      </c>
      <c r="J28" s="35">
        <v>-11</v>
      </c>
      <c r="K28" s="35">
        <v>-10</v>
      </c>
      <c r="L28" s="36">
        <v>-9</v>
      </c>
      <c r="M28" s="36">
        <v>-8</v>
      </c>
      <c r="N28" s="36">
        <v>-7</v>
      </c>
      <c r="O28" s="36">
        <v>-6</v>
      </c>
      <c r="P28" s="36">
        <v>-5</v>
      </c>
      <c r="Q28" s="36">
        <v>-4</v>
      </c>
      <c r="R28" s="36">
        <v>-3</v>
      </c>
      <c r="S28" s="36">
        <v>-2</v>
      </c>
      <c r="T28" s="36">
        <v>-1</v>
      </c>
      <c r="U28" s="36">
        <v>0</v>
      </c>
      <c r="V28" s="36">
        <v>1</v>
      </c>
      <c r="W28" s="36">
        <v>2</v>
      </c>
      <c r="X28" s="36">
        <v>3</v>
      </c>
      <c r="Y28" s="36">
        <v>4</v>
      </c>
      <c r="Z28" s="36">
        <v>5</v>
      </c>
      <c r="AA28" s="36">
        <v>6</v>
      </c>
      <c r="AB28" s="36">
        <v>7</v>
      </c>
      <c r="AC28" s="36">
        <v>8</v>
      </c>
      <c r="AD28" s="36">
        <v>9</v>
      </c>
      <c r="AE28" s="36">
        <v>10</v>
      </c>
      <c r="AF28" s="36">
        <v>11</v>
      </c>
      <c r="AG28" s="36">
        <v>12</v>
      </c>
      <c r="AH28" s="36">
        <v>13</v>
      </c>
      <c r="AI28" s="36"/>
      <c r="AJ28" s="36"/>
      <c r="AK28" s="21"/>
      <c r="AL28" s="21"/>
      <c r="AM28" s="21"/>
      <c r="AN28" s="20"/>
      <c r="AO28" s="20"/>
      <c r="AP28" s="20"/>
      <c r="AQ28" s="20"/>
      <c r="AR28" s="20"/>
      <c r="AS28" s="20"/>
      <c r="AT28" s="22"/>
      <c r="AU28" s="22"/>
      <c r="AV28" s="22" t="s">
        <v>21</v>
      </c>
      <c r="AW28" s="22"/>
      <c r="AX28" s="22"/>
      <c r="AY28" s="22"/>
      <c r="AZ28" s="91"/>
      <c r="BA28" s="122" t="s">
        <v>18</v>
      </c>
      <c r="BB28" s="22" t="s">
        <v>226</v>
      </c>
      <c r="BC28" s="22"/>
      <c r="BD28" s="22"/>
      <c r="BE28" s="20"/>
      <c r="BF28" s="26"/>
    </row>
    <row r="29" spans="1:58" ht="20.100000000000001" customHeight="1">
      <c r="A29" s="19"/>
      <c r="B29" s="20"/>
      <c r="C29" s="20"/>
      <c r="D29" s="20"/>
      <c r="E29" s="20"/>
      <c r="F29" s="2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9"/>
      <c r="AK29" s="21"/>
      <c r="AL29" s="21"/>
      <c r="AM29" s="21"/>
      <c r="AN29" s="20"/>
      <c r="AO29" s="20"/>
      <c r="AP29" s="20"/>
      <c r="AQ29" s="20"/>
      <c r="AR29" s="20"/>
      <c r="AS29" s="20"/>
      <c r="AT29" s="22"/>
      <c r="AU29" s="22"/>
      <c r="AV29" s="22"/>
      <c r="AW29" s="22"/>
      <c r="AX29" s="22"/>
      <c r="AY29" s="22"/>
      <c r="AZ29" s="91"/>
      <c r="BA29" s="110" t="s">
        <v>32</v>
      </c>
      <c r="BB29" s="22" t="s">
        <v>227</v>
      </c>
      <c r="BC29" s="22"/>
      <c r="BD29" s="22"/>
      <c r="BE29" s="20"/>
      <c r="BF29" s="26"/>
    </row>
    <row r="30" spans="1:58" ht="20.100000000000001" customHeight="1">
      <c r="A30" s="19"/>
      <c r="B30" s="20"/>
      <c r="C30" s="20"/>
      <c r="D30" s="20"/>
      <c r="E30" s="20"/>
      <c r="F30" s="6">
        <v>6</v>
      </c>
      <c r="G30" s="40"/>
      <c r="H30" s="126" t="s">
        <v>32</v>
      </c>
      <c r="I30" s="126" t="s">
        <v>32</v>
      </c>
      <c r="J30" s="126" t="s">
        <v>32</v>
      </c>
      <c r="K30" s="126" t="s">
        <v>32</v>
      </c>
      <c r="L30" s="126" t="s">
        <v>32</v>
      </c>
      <c r="M30" s="126" t="s">
        <v>32</v>
      </c>
      <c r="N30" s="126" t="s">
        <v>32</v>
      </c>
      <c r="O30" s="126" t="s">
        <v>32</v>
      </c>
      <c r="P30" s="126" t="s">
        <v>32</v>
      </c>
      <c r="Q30" s="126" t="s">
        <v>32</v>
      </c>
      <c r="R30" s="126" t="s">
        <v>32</v>
      </c>
      <c r="S30" s="126" t="s">
        <v>32</v>
      </c>
      <c r="T30" s="126" t="s">
        <v>32</v>
      </c>
      <c r="U30" s="126" t="s">
        <v>32</v>
      </c>
      <c r="V30" s="126" t="s">
        <v>32</v>
      </c>
      <c r="W30" s="126" t="s">
        <v>32</v>
      </c>
      <c r="X30" s="126" t="s">
        <v>32</v>
      </c>
      <c r="Y30" s="126" t="s">
        <v>32</v>
      </c>
      <c r="Z30" s="126" t="s">
        <v>32</v>
      </c>
      <c r="AA30" s="126" t="s">
        <v>32</v>
      </c>
      <c r="AB30" s="126" t="s">
        <v>32</v>
      </c>
      <c r="AC30" s="126" t="s">
        <v>32</v>
      </c>
      <c r="AD30" s="126" t="s">
        <v>32</v>
      </c>
      <c r="AE30" s="126" t="s">
        <v>32</v>
      </c>
      <c r="AF30" s="126" t="s">
        <v>32</v>
      </c>
      <c r="AG30" s="126" t="s">
        <v>32</v>
      </c>
      <c r="AH30" s="126" t="s">
        <v>32</v>
      </c>
      <c r="AI30" s="40"/>
      <c r="AJ30" s="79">
        <v>6</v>
      </c>
      <c r="AK30" s="21"/>
      <c r="AL30" s="21"/>
      <c r="AM30" s="21"/>
      <c r="AN30" s="20"/>
      <c r="AO30" s="20"/>
      <c r="AP30" s="20"/>
      <c r="AQ30" s="20"/>
      <c r="AR30" s="20"/>
      <c r="AS30" s="20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0"/>
      <c r="BF30" s="26"/>
    </row>
    <row r="31" spans="1:58" ht="20.100000000000001" customHeight="1">
      <c r="A31" s="19"/>
      <c r="B31" s="151" t="s">
        <v>23</v>
      </c>
      <c r="C31" s="151"/>
      <c r="D31" s="20"/>
      <c r="E31" s="20"/>
      <c r="F31" s="6">
        <v>5</v>
      </c>
      <c r="G31" s="40"/>
      <c r="H31" s="126" t="s">
        <v>32</v>
      </c>
      <c r="I31" s="126" t="s">
        <v>32</v>
      </c>
      <c r="J31" s="126" t="s">
        <v>32</v>
      </c>
      <c r="K31" s="126" t="s">
        <v>32</v>
      </c>
      <c r="L31" s="126" t="s">
        <v>32</v>
      </c>
      <c r="M31" s="126" t="s">
        <v>32</v>
      </c>
      <c r="N31" s="126" t="s">
        <v>32</v>
      </c>
      <c r="O31" s="126" t="s">
        <v>32</v>
      </c>
      <c r="P31" s="126" t="s">
        <v>32</v>
      </c>
      <c r="Q31" s="126" t="s">
        <v>32</v>
      </c>
      <c r="R31" s="126" t="s">
        <v>32</v>
      </c>
      <c r="S31" s="126" t="s">
        <v>32</v>
      </c>
      <c r="T31" s="126" t="s">
        <v>32</v>
      </c>
      <c r="U31" s="126" t="s">
        <v>32</v>
      </c>
      <c r="V31" s="126" t="s">
        <v>32</v>
      </c>
      <c r="W31" s="126" t="s">
        <v>32</v>
      </c>
      <c r="X31" s="126" t="s">
        <v>32</v>
      </c>
      <c r="Y31" s="126" t="s">
        <v>32</v>
      </c>
      <c r="Z31" s="126" t="s">
        <v>32</v>
      </c>
      <c r="AA31" s="126" t="s">
        <v>32</v>
      </c>
      <c r="AB31" s="126" t="s">
        <v>32</v>
      </c>
      <c r="AC31" s="126" t="s">
        <v>32</v>
      </c>
      <c r="AD31" s="126" t="s">
        <v>32</v>
      </c>
      <c r="AE31" s="126" t="s">
        <v>32</v>
      </c>
      <c r="AF31" s="126" t="s">
        <v>32</v>
      </c>
      <c r="AG31" s="126" t="s">
        <v>32</v>
      </c>
      <c r="AH31" s="126" t="s">
        <v>32</v>
      </c>
      <c r="AI31" s="40"/>
      <c r="AJ31" s="79">
        <v>5</v>
      </c>
      <c r="AK31" s="21"/>
      <c r="AL31" s="21"/>
      <c r="AM31" s="21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/>
    </row>
    <row r="32" spans="1:58" ht="20.100000000000001" customHeight="1">
      <c r="A32" s="19"/>
      <c r="B32" s="151"/>
      <c r="C32" s="151"/>
      <c r="D32" s="20"/>
      <c r="E32" s="20"/>
      <c r="F32" s="6">
        <v>4</v>
      </c>
      <c r="G32" s="40"/>
      <c r="H32" s="126" t="s">
        <v>32</v>
      </c>
      <c r="I32" s="126" t="s">
        <v>32</v>
      </c>
      <c r="J32" s="126" t="s">
        <v>32</v>
      </c>
      <c r="K32" s="126" t="s">
        <v>32</v>
      </c>
      <c r="L32" s="126" t="s">
        <v>32</v>
      </c>
      <c r="M32" s="126" t="s">
        <v>32</v>
      </c>
      <c r="N32" s="126" t="s">
        <v>32</v>
      </c>
      <c r="O32" s="126" t="s">
        <v>32</v>
      </c>
      <c r="P32" s="126" t="s">
        <v>32</v>
      </c>
      <c r="Q32" s="126" t="s">
        <v>32</v>
      </c>
      <c r="R32" s="126" t="s">
        <v>32</v>
      </c>
      <c r="S32" s="126" t="s">
        <v>32</v>
      </c>
      <c r="T32" s="126" t="s">
        <v>32</v>
      </c>
      <c r="U32" s="126" t="s">
        <v>32</v>
      </c>
      <c r="V32" s="126" t="s">
        <v>32</v>
      </c>
      <c r="W32" s="126" t="s">
        <v>32</v>
      </c>
      <c r="X32" s="126" t="s">
        <v>32</v>
      </c>
      <c r="Y32" s="126" t="s">
        <v>32</v>
      </c>
      <c r="Z32" s="126" t="s">
        <v>32</v>
      </c>
      <c r="AA32" s="126" t="s">
        <v>32</v>
      </c>
      <c r="AB32" s="126" t="s">
        <v>32</v>
      </c>
      <c r="AC32" s="126" t="s">
        <v>32</v>
      </c>
      <c r="AD32" s="126" t="s">
        <v>32</v>
      </c>
      <c r="AE32" s="126" t="s">
        <v>32</v>
      </c>
      <c r="AF32" s="126" t="s">
        <v>32</v>
      </c>
      <c r="AG32" s="126" t="s">
        <v>32</v>
      </c>
      <c r="AH32" s="126" t="s">
        <v>32</v>
      </c>
      <c r="AI32" s="40"/>
      <c r="AJ32" s="79">
        <v>4</v>
      </c>
      <c r="AK32" s="21"/>
      <c r="AL32" s="21"/>
      <c r="AM32" s="21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6"/>
    </row>
    <row r="33" spans="1:58" ht="20.100000000000001" customHeight="1">
      <c r="A33" s="19"/>
      <c r="B33" s="151"/>
      <c r="C33" s="151"/>
      <c r="D33" s="20"/>
      <c r="E33" s="20"/>
      <c r="F33" s="6">
        <v>3</v>
      </c>
      <c r="G33" s="40"/>
      <c r="H33" s="126" t="s">
        <v>32</v>
      </c>
      <c r="I33" s="126" t="s">
        <v>32</v>
      </c>
      <c r="J33" s="126" t="s">
        <v>32</v>
      </c>
      <c r="K33" s="126" t="s">
        <v>32</v>
      </c>
      <c r="L33" s="126" t="s">
        <v>32</v>
      </c>
      <c r="M33" s="126" t="s">
        <v>32</v>
      </c>
      <c r="N33" s="126" t="s">
        <v>32</v>
      </c>
      <c r="O33" s="126" t="s">
        <v>267</v>
      </c>
      <c r="P33" s="126" t="s">
        <v>32</v>
      </c>
      <c r="Q33" s="126" t="s">
        <v>267</v>
      </c>
      <c r="R33" s="126" t="s">
        <v>32</v>
      </c>
      <c r="S33" s="126" t="s">
        <v>267</v>
      </c>
      <c r="T33" s="126" t="s">
        <v>32</v>
      </c>
      <c r="U33" s="126" t="s">
        <v>267</v>
      </c>
      <c r="V33" s="126" t="s">
        <v>32</v>
      </c>
      <c r="W33" s="126" t="s">
        <v>267</v>
      </c>
      <c r="X33" s="126" t="s">
        <v>32</v>
      </c>
      <c r="Y33" s="126" t="s">
        <v>32</v>
      </c>
      <c r="Z33" s="126" t="s">
        <v>32</v>
      </c>
      <c r="AA33" s="126" t="s">
        <v>267</v>
      </c>
      <c r="AB33" s="126" t="s">
        <v>32</v>
      </c>
      <c r="AC33" s="126" t="s">
        <v>32</v>
      </c>
      <c r="AD33" s="126" t="s">
        <v>32</v>
      </c>
      <c r="AE33" s="126" t="s">
        <v>32</v>
      </c>
      <c r="AF33" s="126" t="s">
        <v>32</v>
      </c>
      <c r="AG33" s="126" t="s">
        <v>32</v>
      </c>
      <c r="AH33" s="126" t="s">
        <v>32</v>
      </c>
      <c r="AI33" s="40"/>
      <c r="AJ33" s="79">
        <v>3</v>
      </c>
      <c r="AK33" s="21"/>
      <c r="AL33" s="21"/>
      <c r="AM33" s="21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6"/>
    </row>
    <row r="34" spans="1:58" ht="20.100000000000001" customHeight="1">
      <c r="A34" s="19"/>
      <c r="B34" s="151"/>
      <c r="C34" s="151"/>
      <c r="D34" s="20"/>
      <c r="E34" s="20"/>
      <c r="F34" s="6">
        <v>2</v>
      </c>
      <c r="G34" s="40"/>
      <c r="H34" s="126" t="s">
        <v>32</v>
      </c>
      <c r="I34" s="126" t="s">
        <v>32</v>
      </c>
      <c r="J34" s="126" t="s">
        <v>32</v>
      </c>
      <c r="K34" s="126" t="s">
        <v>32</v>
      </c>
      <c r="L34" s="126" t="s">
        <v>32</v>
      </c>
      <c r="M34" s="126" t="s">
        <v>32</v>
      </c>
      <c r="N34" s="126" t="s">
        <v>32</v>
      </c>
      <c r="O34" s="126" t="s">
        <v>267</v>
      </c>
      <c r="P34" s="126" t="s">
        <v>32</v>
      </c>
      <c r="Q34" s="126" t="s">
        <v>32</v>
      </c>
      <c r="R34" s="126" t="s">
        <v>32</v>
      </c>
      <c r="S34" s="126" t="s">
        <v>32</v>
      </c>
      <c r="T34" s="126" t="s">
        <v>267</v>
      </c>
      <c r="U34" s="126" t="s">
        <v>267</v>
      </c>
      <c r="V34" s="126" t="s">
        <v>32</v>
      </c>
      <c r="W34" s="126" t="s">
        <v>32</v>
      </c>
      <c r="X34" s="126" t="s">
        <v>267</v>
      </c>
      <c r="Y34" s="126" t="s">
        <v>32</v>
      </c>
      <c r="Z34" s="126" t="s">
        <v>32</v>
      </c>
      <c r="AA34" s="126" t="s">
        <v>32</v>
      </c>
      <c r="AB34" s="126" t="s">
        <v>32</v>
      </c>
      <c r="AC34" s="126" t="s">
        <v>32</v>
      </c>
      <c r="AD34" s="126" t="s">
        <v>32</v>
      </c>
      <c r="AE34" s="126" t="s">
        <v>32</v>
      </c>
      <c r="AF34" s="126" t="s">
        <v>32</v>
      </c>
      <c r="AG34" s="126" t="s">
        <v>32</v>
      </c>
      <c r="AH34" s="126" t="s">
        <v>32</v>
      </c>
      <c r="AI34" s="40"/>
      <c r="AJ34" s="79">
        <v>2</v>
      </c>
      <c r="AK34" s="21"/>
      <c r="AL34" s="21"/>
      <c r="AM34" s="21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6"/>
    </row>
    <row r="35" spans="1:58" ht="20.100000000000001" customHeight="1">
      <c r="A35" s="19"/>
      <c r="B35" s="151"/>
      <c r="C35" s="151"/>
      <c r="D35" s="20"/>
      <c r="E35" s="20"/>
      <c r="F35" s="6">
        <v>1</v>
      </c>
      <c r="G35" s="40"/>
      <c r="H35" s="126" t="s">
        <v>32</v>
      </c>
      <c r="I35" s="126" t="s">
        <v>32</v>
      </c>
      <c r="J35" s="126" t="s">
        <v>32</v>
      </c>
      <c r="K35" s="126" t="s">
        <v>32</v>
      </c>
      <c r="L35" s="126" t="s">
        <v>32</v>
      </c>
      <c r="M35" s="126" t="s">
        <v>267</v>
      </c>
      <c r="N35" s="126" t="s">
        <v>32</v>
      </c>
      <c r="O35" s="126" t="s">
        <v>32</v>
      </c>
      <c r="P35" s="126" t="s">
        <v>32</v>
      </c>
      <c r="Q35" s="126" t="s">
        <v>32</v>
      </c>
      <c r="R35" s="126" t="s">
        <v>32</v>
      </c>
      <c r="S35" s="126" t="s">
        <v>32</v>
      </c>
      <c r="T35" s="126" t="s">
        <v>32</v>
      </c>
      <c r="U35" s="126" t="s">
        <v>32</v>
      </c>
      <c r="V35" s="126" t="s">
        <v>32</v>
      </c>
      <c r="W35" s="126" t="s">
        <v>32</v>
      </c>
      <c r="X35" s="126" t="s">
        <v>32</v>
      </c>
      <c r="Y35" s="126" t="s">
        <v>267</v>
      </c>
      <c r="Z35" s="126" t="s">
        <v>32</v>
      </c>
      <c r="AA35" s="126" t="s">
        <v>267</v>
      </c>
      <c r="AB35" s="126" t="s">
        <v>267</v>
      </c>
      <c r="AC35" s="126" t="s">
        <v>267</v>
      </c>
      <c r="AD35" s="126" t="s">
        <v>267</v>
      </c>
      <c r="AE35" s="126" t="s">
        <v>32</v>
      </c>
      <c r="AF35" s="126" t="s">
        <v>32</v>
      </c>
      <c r="AG35" s="126" t="s">
        <v>32</v>
      </c>
      <c r="AH35" s="126" t="s">
        <v>32</v>
      </c>
      <c r="AI35" s="40"/>
      <c r="AJ35" s="79">
        <v>1</v>
      </c>
      <c r="AK35" s="21"/>
      <c r="AL35" s="21"/>
      <c r="AM35" s="21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6"/>
    </row>
    <row r="36" spans="1:58" ht="20.100000000000001" customHeight="1">
      <c r="A36" s="19"/>
      <c r="B36" s="151"/>
      <c r="C36" s="151"/>
      <c r="D36" s="20"/>
      <c r="E36" s="20"/>
      <c r="F36" s="6">
        <v>0</v>
      </c>
      <c r="G36" s="40"/>
      <c r="H36" s="126" t="s">
        <v>32</v>
      </c>
      <c r="I36" s="126" t="s">
        <v>32</v>
      </c>
      <c r="J36" s="126" t="s">
        <v>32</v>
      </c>
      <c r="K36" s="126" t="s">
        <v>32</v>
      </c>
      <c r="L36" s="126" t="s">
        <v>32</v>
      </c>
      <c r="M36" s="126" t="s">
        <v>32</v>
      </c>
      <c r="N36" s="126" t="s">
        <v>32</v>
      </c>
      <c r="O36" s="126" t="s">
        <v>32</v>
      </c>
      <c r="P36" s="126" t="s">
        <v>32</v>
      </c>
      <c r="Q36" s="126" t="s">
        <v>32</v>
      </c>
      <c r="R36" s="126" t="s">
        <v>32</v>
      </c>
      <c r="S36" s="126" t="s">
        <v>32</v>
      </c>
      <c r="T36" s="126" t="s">
        <v>267</v>
      </c>
      <c r="U36" s="126" t="s">
        <v>32</v>
      </c>
      <c r="V36" s="126" t="s">
        <v>32</v>
      </c>
      <c r="W36" s="126" t="s">
        <v>32</v>
      </c>
      <c r="X36" s="126" t="s">
        <v>32</v>
      </c>
      <c r="Y36" s="126" t="s">
        <v>32</v>
      </c>
      <c r="Z36" s="126" t="s">
        <v>267</v>
      </c>
      <c r="AA36" s="126" t="s">
        <v>32</v>
      </c>
      <c r="AB36" s="126" t="s">
        <v>32</v>
      </c>
      <c r="AC36" s="126" t="s">
        <v>32</v>
      </c>
      <c r="AD36" s="126" t="s">
        <v>32</v>
      </c>
      <c r="AE36" s="126" t="s">
        <v>32</v>
      </c>
      <c r="AF36" s="126" t="s">
        <v>32</v>
      </c>
      <c r="AG36" s="126" t="s">
        <v>32</v>
      </c>
      <c r="AH36" s="126" t="s">
        <v>32</v>
      </c>
      <c r="AI36" s="40"/>
      <c r="AJ36" s="79">
        <v>0</v>
      </c>
      <c r="AK36" s="21"/>
      <c r="AL36" s="21"/>
      <c r="AM36" s="21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6"/>
    </row>
    <row r="37" spans="1:58" ht="20.100000000000001" customHeight="1">
      <c r="A37" s="19"/>
      <c r="B37" s="151"/>
      <c r="C37" s="151"/>
      <c r="D37" s="20"/>
      <c r="E37" s="20"/>
      <c r="F37" s="6">
        <v>-1</v>
      </c>
      <c r="G37" s="40"/>
      <c r="H37" s="126" t="s">
        <v>32</v>
      </c>
      <c r="I37" s="126" t="s">
        <v>32</v>
      </c>
      <c r="J37" s="126" t="s">
        <v>32</v>
      </c>
      <c r="K37" s="126" t="s">
        <v>32</v>
      </c>
      <c r="L37" s="126" t="s">
        <v>32</v>
      </c>
      <c r="M37" s="126" t="s">
        <v>267</v>
      </c>
      <c r="N37" s="126" t="s">
        <v>32</v>
      </c>
      <c r="O37" s="126" t="s">
        <v>32</v>
      </c>
      <c r="P37" s="126" t="s">
        <v>32</v>
      </c>
      <c r="Q37" s="126" t="s">
        <v>32</v>
      </c>
      <c r="R37" s="126" t="s">
        <v>32</v>
      </c>
      <c r="S37" s="126" t="s">
        <v>32</v>
      </c>
      <c r="T37" s="126" t="s">
        <v>32</v>
      </c>
      <c r="U37" s="126" t="s">
        <v>32</v>
      </c>
      <c r="V37" s="126" t="s">
        <v>32</v>
      </c>
      <c r="W37" s="126" t="s">
        <v>32</v>
      </c>
      <c r="X37" s="126" t="s">
        <v>32</v>
      </c>
      <c r="Y37" s="126" t="s">
        <v>32</v>
      </c>
      <c r="Z37" s="126" t="s">
        <v>267</v>
      </c>
      <c r="AA37" s="126" t="s">
        <v>267</v>
      </c>
      <c r="AB37" s="126" t="s">
        <v>267</v>
      </c>
      <c r="AC37" s="126" t="s">
        <v>32</v>
      </c>
      <c r="AD37" s="126" t="s">
        <v>32</v>
      </c>
      <c r="AE37" s="126" t="s">
        <v>32</v>
      </c>
      <c r="AF37" s="126" t="s">
        <v>32</v>
      </c>
      <c r="AG37" s="126" t="s">
        <v>32</v>
      </c>
      <c r="AH37" s="126" t="s">
        <v>32</v>
      </c>
      <c r="AI37" s="40"/>
      <c r="AJ37" s="6">
        <v>-1</v>
      </c>
      <c r="AK37" s="21"/>
      <c r="AL37" s="21"/>
      <c r="AM37" s="21"/>
      <c r="AN37" s="20"/>
      <c r="AO37" s="41"/>
      <c r="AP37" s="20"/>
      <c r="AQ37" s="20"/>
      <c r="AR37" s="20"/>
      <c r="AZ37" s="20"/>
      <c r="BA37" s="20"/>
      <c r="BB37" s="20"/>
      <c r="BC37" s="20"/>
      <c r="BD37" s="20"/>
      <c r="BE37" s="20"/>
      <c r="BF37" s="26"/>
    </row>
    <row r="38" spans="1:58" ht="20.100000000000001" customHeight="1">
      <c r="A38" s="19"/>
      <c r="B38" s="151"/>
      <c r="C38" s="151"/>
      <c r="D38" s="20"/>
      <c r="E38" s="20"/>
      <c r="F38" s="6">
        <v>-2</v>
      </c>
      <c r="G38" s="40"/>
      <c r="H38" s="126" t="s">
        <v>32</v>
      </c>
      <c r="I38" s="126" t="s">
        <v>32</v>
      </c>
      <c r="J38" s="126" t="s">
        <v>32</v>
      </c>
      <c r="K38" s="126" t="s">
        <v>32</v>
      </c>
      <c r="L38" s="126" t="s">
        <v>32</v>
      </c>
      <c r="M38" s="126" t="s">
        <v>32</v>
      </c>
      <c r="N38" s="126" t="s">
        <v>32</v>
      </c>
      <c r="O38" s="126" t="s">
        <v>267</v>
      </c>
      <c r="P38" s="126" t="s">
        <v>32</v>
      </c>
      <c r="Q38" s="126" t="s">
        <v>32</v>
      </c>
      <c r="R38" s="126" t="s">
        <v>32</v>
      </c>
      <c r="S38" s="126" t="s">
        <v>32</v>
      </c>
      <c r="T38" s="126" t="s">
        <v>267</v>
      </c>
      <c r="U38" s="126" t="s">
        <v>32</v>
      </c>
      <c r="V38" s="126" t="s">
        <v>32</v>
      </c>
      <c r="W38" s="126" t="s">
        <v>32</v>
      </c>
      <c r="X38" s="126" t="s">
        <v>32</v>
      </c>
      <c r="Y38" s="126" t="s">
        <v>267</v>
      </c>
      <c r="Z38" s="126" t="s">
        <v>32</v>
      </c>
      <c r="AA38" s="126" t="s">
        <v>32</v>
      </c>
      <c r="AB38" s="126" t="s">
        <v>267</v>
      </c>
      <c r="AC38" s="126" t="s">
        <v>32</v>
      </c>
      <c r="AD38" s="126" t="s">
        <v>32</v>
      </c>
      <c r="AE38" s="126" t="s">
        <v>32</v>
      </c>
      <c r="AF38" s="126" t="s">
        <v>32</v>
      </c>
      <c r="AG38" s="126" t="s">
        <v>32</v>
      </c>
      <c r="AH38" s="126" t="s">
        <v>32</v>
      </c>
      <c r="AI38" s="40"/>
      <c r="AJ38" s="6">
        <v>-2</v>
      </c>
      <c r="AK38" s="21"/>
      <c r="AL38" s="21"/>
      <c r="AM38" s="21"/>
      <c r="AN38" s="20"/>
      <c r="AO38" s="41"/>
      <c r="AP38" s="20"/>
      <c r="AQ38" s="20"/>
      <c r="AR38" s="20"/>
      <c r="AS38" s="130"/>
      <c r="AT38" s="130"/>
      <c r="AU38" s="130"/>
      <c r="AV38" s="130"/>
      <c r="AW38" s="130"/>
      <c r="AX38" s="130"/>
      <c r="AY38" s="130"/>
      <c r="AZ38" s="131"/>
      <c r="BA38" s="131"/>
      <c r="BB38" s="131"/>
      <c r="BC38" s="131"/>
      <c r="BD38" s="131"/>
      <c r="BE38" s="131"/>
      <c r="BF38" s="132"/>
    </row>
    <row r="39" spans="1:58" ht="20.100000000000001" customHeight="1">
      <c r="A39" s="19"/>
      <c r="B39" s="151"/>
      <c r="C39" s="151"/>
      <c r="D39" s="20"/>
      <c r="E39" s="20"/>
      <c r="F39" s="6">
        <v>-3</v>
      </c>
      <c r="G39" s="40"/>
      <c r="H39" s="126" t="s">
        <v>32</v>
      </c>
      <c r="I39" s="126" t="s">
        <v>32</v>
      </c>
      <c r="J39" s="126" t="s">
        <v>32</v>
      </c>
      <c r="K39" s="126" t="s">
        <v>32</v>
      </c>
      <c r="L39" s="126" t="s">
        <v>32</v>
      </c>
      <c r="M39" s="126" t="s">
        <v>32</v>
      </c>
      <c r="N39" s="126" t="s">
        <v>32</v>
      </c>
      <c r="O39" s="126" t="s">
        <v>32</v>
      </c>
      <c r="P39" s="126" t="s">
        <v>267</v>
      </c>
      <c r="Q39" s="126" t="s">
        <v>267</v>
      </c>
      <c r="R39" s="126" t="s">
        <v>32</v>
      </c>
      <c r="S39" s="126" t="s">
        <v>267</v>
      </c>
      <c r="T39" s="126" t="s">
        <v>32</v>
      </c>
      <c r="U39" s="126" t="s">
        <v>267</v>
      </c>
      <c r="V39" s="126" t="s">
        <v>32</v>
      </c>
      <c r="W39" s="126" t="s">
        <v>267</v>
      </c>
      <c r="X39" s="126" t="s">
        <v>267</v>
      </c>
      <c r="Y39" s="126" t="s">
        <v>32</v>
      </c>
      <c r="Z39" s="126" t="s">
        <v>32</v>
      </c>
      <c r="AA39" s="126" t="s">
        <v>267</v>
      </c>
      <c r="AB39" s="126" t="s">
        <v>32</v>
      </c>
      <c r="AC39" s="126" t="s">
        <v>32</v>
      </c>
      <c r="AD39" s="126" t="s">
        <v>32</v>
      </c>
      <c r="AE39" s="126" t="s">
        <v>32</v>
      </c>
      <c r="AF39" s="126" t="s">
        <v>32</v>
      </c>
      <c r="AG39" s="126" t="s">
        <v>32</v>
      </c>
      <c r="AH39" s="126" t="s">
        <v>32</v>
      </c>
      <c r="AI39" s="40"/>
      <c r="AJ39" s="6">
        <v>-3</v>
      </c>
      <c r="AK39" s="21"/>
      <c r="AL39" s="21"/>
      <c r="AM39" s="21"/>
      <c r="AN39" s="20"/>
      <c r="AO39" s="41"/>
      <c r="AP39" s="20"/>
      <c r="AQ39" s="20"/>
      <c r="AR39" s="20"/>
      <c r="AS39" s="131"/>
      <c r="AT39" s="131"/>
      <c r="AU39" s="131"/>
      <c r="AV39" s="131"/>
      <c r="AW39" s="131"/>
      <c r="AX39" s="130"/>
      <c r="AY39" s="130"/>
      <c r="AZ39" s="131"/>
      <c r="BA39" s="131"/>
      <c r="BB39" s="131"/>
      <c r="BC39" s="131"/>
      <c r="BD39" s="131"/>
      <c r="BE39" s="131"/>
      <c r="BF39" s="132"/>
    </row>
    <row r="40" spans="1:58" ht="20.100000000000001" customHeight="1">
      <c r="A40" s="19"/>
      <c r="B40" s="151"/>
      <c r="C40" s="151"/>
      <c r="D40" s="20"/>
      <c r="E40" s="20"/>
      <c r="F40" s="6">
        <v>-4</v>
      </c>
      <c r="G40" s="40"/>
      <c r="H40" s="126" t="s">
        <v>32</v>
      </c>
      <c r="I40" s="126" t="s">
        <v>32</v>
      </c>
      <c r="J40" s="126" t="s">
        <v>32</v>
      </c>
      <c r="K40" s="126" t="s">
        <v>32</v>
      </c>
      <c r="L40" s="126" t="s">
        <v>32</v>
      </c>
      <c r="M40" s="126" t="s">
        <v>32</v>
      </c>
      <c r="N40" s="126" t="s">
        <v>32</v>
      </c>
      <c r="O40" s="126" t="s">
        <v>32</v>
      </c>
      <c r="P40" s="126" t="s">
        <v>32</v>
      </c>
      <c r="Q40" s="126" t="s">
        <v>32</v>
      </c>
      <c r="R40" s="126" t="s">
        <v>32</v>
      </c>
      <c r="S40" s="126" t="s">
        <v>32</v>
      </c>
      <c r="T40" s="126" t="s">
        <v>32</v>
      </c>
      <c r="U40" s="126" t="s">
        <v>32</v>
      </c>
      <c r="V40" s="126" t="s">
        <v>32</v>
      </c>
      <c r="W40" s="126" t="s">
        <v>32</v>
      </c>
      <c r="X40" s="126" t="s">
        <v>32</v>
      </c>
      <c r="Y40" s="126" t="s">
        <v>32</v>
      </c>
      <c r="Z40" s="126" t="s">
        <v>32</v>
      </c>
      <c r="AA40" s="126" t="s">
        <v>32</v>
      </c>
      <c r="AB40" s="126" t="s">
        <v>32</v>
      </c>
      <c r="AC40" s="126" t="s">
        <v>32</v>
      </c>
      <c r="AD40" s="126" t="s">
        <v>32</v>
      </c>
      <c r="AE40" s="126" t="s">
        <v>32</v>
      </c>
      <c r="AF40" s="126" t="s">
        <v>32</v>
      </c>
      <c r="AG40" s="126" t="s">
        <v>32</v>
      </c>
      <c r="AH40" s="126" t="s">
        <v>32</v>
      </c>
      <c r="AI40" s="40"/>
      <c r="AJ40" s="6">
        <v>-4</v>
      </c>
      <c r="AK40" s="21"/>
      <c r="AL40" s="21"/>
      <c r="AM40" s="21"/>
      <c r="AN40" s="20"/>
      <c r="AO40" s="22"/>
      <c r="AP40" s="22"/>
      <c r="AQ40" s="22"/>
      <c r="AR40" s="22"/>
      <c r="AS40" s="130"/>
      <c r="AT40" s="130"/>
      <c r="AU40" s="130"/>
      <c r="AV40" s="130"/>
      <c r="AW40" s="130"/>
      <c r="AX40" s="130"/>
      <c r="AY40" s="130"/>
      <c r="AZ40" s="131"/>
      <c r="BA40" s="131"/>
      <c r="BB40" s="131"/>
      <c r="BC40" s="131"/>
      <c r="BD40" s="131"/>
      <c r="BE40" s="131"/>
      <c r="BF40" s="132"/>
    </row>
    <row r="41" spans="1:58" ht="20.100000000000001" customHeight="1">
      <c r="A41" s="19"/>
      <c r="B41" s="151"/>
      <c r="C41" s="151"/>
      <c r="D41" s="20"/>
      <c r="E41" s="20"/>
      <c r="F41" s="6">
        <v>-5</v>
      </c>
      <c r="G41" s="40"/>
      <c r="H41" s="126" t="s">
        <v>32</v>
      </c>
      <c r="I41" s="126" t="s">
        <v>32</v>
      </c>
      <c r="J41" s="126" t="s">
        <v>32</v>
      </c>
      <c r="K41" s="126" t="s">
        <v>32</v>
      </c>
      <c r="L41" s="126" t="s">
        <v>32</v>
      </c>
      <c r="M41" s="126" t="s">
        <v>32</v>
      </c>
      <c r="N41" s="126" t="s">
        <v>32</v>
      </c>
      <c r="O41" s="126" t="s">
        <v>32</v>
      </c>
      <c r="P41" s="126" t="s">
        <v>32</v>
      </c>
      <c r="Q41" s="126" t="s">
        <v>32</v>
      </c>
      <c r="R41" s="126" t="s">
        <v>32</v>
      </c>
      <c r="S41" s="126" t="s">
        <v>32</v>
      </c>
      <c r="T41" s="126" t="s">
        <v>32</v>
      </c>
      <c r="U41" s="126" t="s">
        <v>32</v>
      </c>
      <c r="V41" s="126" t="s">
        <v>32</v>
      </c>
      <c r="W41" s="126" t="s">
        <v>32</v>
      </c>
      <c r="X41" s="126" t="s">
        <v>32</v>
      </c>
      <c r="Y41" s="126" t="s">
        <v>32</v>
      </c>
      <c r="Z41" s="126" t="s">
        <v>32</v>
      </c>
      <c r="AA41" s="126" t="s">
        <v>32</v>
      </c>
      <c r="AB41" s="126" t="s">
        <v>32</v>
      </c>
      <c r="AC41" s="126" t="s">
        <v>32</v>
      </c>
      <c r="AD41" s="126" t="s">
        <v>32</v>
      </c>
      <c r="AE41" s="126" t="s">
        <v>32</v>
      </c>
      <c r="AF41" s="126" t="s">
        <v>32</v>
      </c>
      <c r="AG41" s="126" t="s">
        <v>32</v>
      </c>
      <c r="AH41" s="126" t="s">
        <v>32</v>
      </c>
      <c r="AI41" s="40"/>
      <c r="AJ41" s="6">
        <v>-5</v>
      </c>
      <c r="AK41" s="21"/>
      <c r="AL41" s="21"/>
      <c r="AM41" s="21"/>
      <c r="AN41" s="20"/>
      <c r="AO41" s="22"/>
      <c r="AP41" s="22"/>
      <c r="AQ41" s="22"/>
      <c r="AR41" s="22"/>
      <c r="AS41" s="294" t="s">
        <v>24</v>
      </c>
      <c r="AT41" s="294"/>
      <c r="AU41" s="294"/>
      <c r="AV41" s="294"/>
      <c r="AW41" s="294"/>
      <c r="AX41" s="294"/>
      <c r="AY41" s="294"/>
      <c r="AZ41" s="275">
        <v>46</v>
      </c>
      <c r="BA41" s="276"/>
      <c r="BB41" s="276"/>
      <c r="BC41" s="276"/>
      <c r="BD41" s="276"/>
      <c r="BE41" s="276"/>
      <c r="BF41" s="277"/>
    </row>
    <row r="42" spans="1:58" ht="20.100000000000001" customHeight="1">
      <c r="A42" s="19"/>
      <c r="B42" s="20"/>
      <c r="C42" s="20"/>
      <c r="D42" s="20"/>
      <c r="E42" s="20"/>
      <c r="F42" s="6">
        <v>-6</v>
      </c>
      <c r="G42" s="40"/>
      <c r="H42" s="126" t="s">
        <v>32</v>
      </c>
      <c r="I42" s="126" t="s">
        <v>32</v>
      </c>
      <c r="J42" s="126" t="s">
        <v>32</v>
      </c>
      <c r="K42" s="126" t="s">
        <v>32</v>
      </c>
      <c r="L42" s="126" t="s">
        <v>32</v>
      </c>
      <c r="M42" s="126" t="s">
        <v>32</v>
      </c>
      <c r="N42" s="126" t="s">
        <v>32</v>
      </c>
      <c r="O42" s="126" t="s">
        <v>32</v>
      </c>
      <c r="P42" s="126" t="s">
        <v>32</v>
      </c>
      <c r="Q42" s="126" t="s">
        <v>32</v>
      </c>
      <c r="R42" s="126" t="s">
        <v>32</v>
      </c>
      <c r="S42" s="126" t="s">
        <v>32</v>
      </c>
      <c r="T42" s="126" t="s">
        <v>32</v>
      </c>
      <c r="U42" s="126" t="s">
        <v>32</v>
      </c>
      <c r="V42" s="126" t="s">
        <v>32</v>
      </c>
      <c r="W42" s="126" t="s">
        <v>32</v>
      </c>
      <c r="X42" s="126" t="s">
        <v>32</v>
      </c>
      <c r="Y42" s="126" t="s">
        <v>32</v>
      </c>
      <c r="Z42" s="126" t="s">
        <v>32</v>
      </c>
      <c r="AA42" s="126" t="s">
        <v>32</v>
      </c>
      <c r="AB42" s="126" t="s">
        <v>32</v>
      </c>
      <c r="AC42" s="126" t="s">
        <v>32</v>
      </c>
      <c r="AD42" s="126" t="s">
        <v>32</v>
      </c>
      <c r="AE42" s="126" t="s">
        <v>32</v>
      </c>
      <c r="AF42" s="126" t="s">
        <v>32</v>
      </c>
      <c r="AG42" s="126" t="s">
        <v>32</v>
      </c>
      <c r="AH42" s="126" t="s">
        <v>32</v>
      </c>
      <c r="AI42" s="40"/>
      <c r="AJ42" s="6">
        <v>-6</v>
      </c>
      <c r="AK42" s="21"/>
      <c r="AL42" s="21"/>
      <c r="AM42" s="21"/>
      <c r="AN42" s="20"/>
      <c r="AO42" s="28"/>
      <c r="AP42" s="28"/>
      <c r="AQ42" s="28"/>
      <c r="AR42" s="28"/>
      <c r="AS42" s="294"/>
      <c r="AT42" s="294"/>
      <c r="AU42" s="294"/>
      <c r="AV42" s="294"/>
      <c r="AW42" s="294"/>
      <c r="AX42" s="294"/>
      <c r="AY42" s="294"/>
      <c r="AZ42" s="278"/>
      <c r="BA42" s="279"/>
      <c r="BB42" s="279"/>
      <c r="BC42" s="279"/>
      <c r="BD42" s="279"/>
      <c r="BE42" s="279"/>
      <c r="BF42" s="280"/>
    </row>
    <row r="43" spans="1:58" ht="20.100000000000001" customHeight="1">
      <c r="A43" s="19"/>
      <c r="B43" s="20"/>
      <c r="C43" s="20"/>
      <c r="D43" s="20"/>
      <c r="E43" s="20"/>
      <c r="F43" s="6"/>
      <c r="G43" s="40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40"/>
      <c r="AJ43" s="6"/>
      <c r="AK43" s="21"/>
      <c r="AL43" s="21"/>
      <c r="AM43" s="21"/>
      <c r="AN43" s="20"/>
      <c r="AO43" s="28"/>
      <c r="AP43" s="28"/>
      <c r="AQ43" s="28"/>
      <c r="AR43" s="28"/>
      <c r="AS43" s="271" t="s">
        <v>141</v>
      </c>
      <c r="AT43" s="272"/>
      <c r="AU43" s="272"/>
      <c r="AV43" s="272"/>
      <c r="AW43" s="272"/>
      <c r="AX43" s="272"/>
      <c r="AY43" s="238"/>
      <c r="AZ43" s="275">
        <v>1300</v>
      </c>
      <c r="BA43" s="276"/>
      <c r="BB43" s="276"/>
      <c r="BC43" s="276"/>
      <c r="BD43" s="276"/>
      <c r="BE43" s="276"/>
      <c r="BF43" s="277"/>
    </row>
    <row r="44" spans="1:58" ht="20.100000000000001" customHeight="1">
      <c r="A44" s="42"/>
      <c r="B44" s="30"/>
      <c r="C44" s="30"/>
      <c r="D44" s="30"/>
      <c r="E44" s="30"/>
      <c r="F44" s="43"/>
      <c r="G44" s="77"/>
      <c r="H44" s="44">
        <v>-13</v>
      </c>
      <c r="I44" s="44">
        <v>-12</v>
      </c>
      <c r="J44" s="44">
        <v>-11</v>
      </c>
      <c r="K44" s="44">
        <v>-10</v>
      </c>
      <c r="L44" s="44">
        <v>-9</v>
      </c>
      <c r="M44" s="44">
        <v>-8</v>
      </c>
      <c r="N44" s="44">
        <v>-7</v>
      </c>
      <c r="O44" s="44">
        <v>-6</v>
      </c>
      <c r="P44" s="44">
        <v>-5</v>
      </c>
      <c r="Q44" s="44">
        <v>-4</v>
      </c>
      <c r="R44" s="44">
        <v>-3</v>
      </c>
      <c r="S44" s="45">
        <v>-2</v>
      </c>
      <c r="T44" s="45">
        <v>-1</v>
      </c>
      <c r="U44" s="45">
        <v>0</v>
      </c>
      <c r="V44" s="45">
        <v>1</v>
      </c>
      <c r="W44" s="45">
        <v>2</v>
      </c>
      <c r="X44" s="45">
        <v>3</v>
      </c>
      <c r="Y44" s="45">
        <v>4</v>
      </c>
      <c r="Z44" s="45">
        <v>5</v>
      </c>
      <c r="AA44" s="45">
        <v>6</v>
      </c>
      <c r="AB44" s="45">
        <v>7</v>
      </c>
      <c r="AC44" s="45">
        <v>8</v>
      </c>
      <c r="AD44" s="45">
        <v>9</v>
      </c>
      <c r="AE44" s="45">
        <v>10</v>
      </c>
      <c r="AF44" s="45">
        <v>11</v>
      </c>
      <c r="AG44" s="45">
        <v>12</v>
      </c>
      <c r="AH44" s="45">
        <v>13</v>
      </c>
      <c r="AI44" s="45"/>
      <c r="AJ44" s="46"/>
      <c r="AK44" s="29"/>
      <c r="AL44" s="29"/>
      <c r="AM44" s="29"/>
      <c r="AN44" s="30"/>
      <c r="AO44" s="31"/>
      <c r="AP44" s="31"/>
      <c r="AQ44" s="31"/>
      <c r="AR44" s="47"/>
      <c r="AS44" s="189" t="str">
        <f>IF(AZ2="7-200","（± 0.2Mpa）"," （± 50KN）")</f>
        <v xml:space="preserve"> （± 50KN）</v>
      </c>
      <c r="AT44" s="190"/>
      <c r="AU44" s="190"/>
      <c r="AV44" s="190"/>
      <c r="AW44" s="190"/>
      <c r="AX44" s="190"/>
      <c r="AY44" s="191"/>
      <c r="AZ44" s="278"/>
      <c r="BA44" s="279"/>
      <c r="BB44" s="279"/>
      <c r="BC44" s="279"/>
      <c r="BD44" s="279"/>
      <c r="BE44" s="279"/>
      <c r="BF44" s="280"/>
    </row>
    <row r="45" spans="1:58" ht="19.149999999999999" customHeight="1">
      <c r="A45" s="48" t="s">
        <v>33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  <c r="M45" s="50"/>
      <c r="N45" s="51"/>
      <c r="O45" s="51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  <c r="AB45" s="50"/>
      <c r="AC45" s="52"/>
      <c r="AD45" s="53" t="s">
        <v>25</v>
      </c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38"/>
      <c r="AQ45" s="53"/>
      <c r="AR45" s="53"/>
      <c r="AS45" s="53"/>
      <c r="AT45" s="53"/>
      <c r="AU45" s="53"/>
      <c r="AV45" s="53"/>
      <c r="AW45" s="51"/>
      <c r="AX45" s="53"/>
      <c r="AY45" s="55"/>
      <c r="AZ45" s="33"/>
      <c r="BA45" s="20"/>
      <c r="BB45" s="140"/>
      <c r="BC45" s="56"/>
      <c r="BD45" s="56"/>
      <c r="BE45" s="56"/>
      <c r="BF45" s="57"/>
    </row>
    <row r="46" spans="1:58" ht="19.149999999999999" customHeight="1">
      <c r="A46" s="139" t="s">
        <v>37</v>
      </c>
      <c r="B46" s="51"/>
      <c r="C46" s="50"/>
      <c r="D46" s="155" t="str">
        <f>'单动-高速压机OP50'!D46:N46</f>
        <v>2SD 809 605</v>
      </c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281" t="s">
        <v>261</v>
      </c>
      <c r="P46" s="281"/>
      <c r="Q46" s="281"/>
      <c r="R46" s="281"/>
      <c r="S46" s="281"/>
      <c r="T46" s="281"/>
      <c r="U46" s="281"/>
      <c r="V46" s="59"/>
      <c r="W46" s="127"/>
      <c r="X46" s="59"/>
      <c r="Y46" s="59"/>
      <c r="Z46" s="59"/>
      <c r="AA46" s="59"/>
      <c r="AB46" s="59"/>
      <c r="AC46" s="60"/>
      <c r="AD46" s="142" t="s">
        <v>238</v>
      </c>
      <c r="AE46" s="140"/>
      <c r="AF46" s="140"/>
      <c r="AG46" s="140"/>
      <c r="AH46" s="140"/>
      <c r="AI46" s="124">
        <v>3</v>
      </c>
      <c r="AJ46" s="22" t="s">
        <v>237</v>
      </c>
      <c r="AK46" s="22"/>
      <c r="AL46" s="22"/>
      <c r="AM46" s="22"/>
      <c r="AN46" s="22"/>
      <c r="AO46" s="22"/>
      <c r="AP46" s="22"/>
      <c r="AQ46" s="22"/>
      <c r="AR46" s="140"/>
      <c r="AS46" s="140"/>
      <c r="AT46" s="22"/>
      <c r="AU46" s="140"/>
      <c r="AV46" s="140"/>
      <c r="AW46" s="51"/>
      <c r="AX46" s="140"/>
      <c r="AY46" s="51"/>
      <c r="AZ46" s="20"/>
      <c r="BA46" s="20"/>
      <c r="BB46" s="140"/>
      <c r="BC46" s="56"/>
      <c r="BD46" s="56"/>
      <c r="BE46" s="56"/>
      <c r="BF46" s="57"/>
    </row>
    <row r="47" spans="1:58" ht="19.149999999999999" customHeight="1">
      <c r="A47" s="61" t="s">
        <v>38</v>
      </c>
      <c r="B47" s="51"/>
      <c r="C47" s="62"/>
      <c r="D47" s="155" t="str">
        <f>D46</f>
        <v>2SD 809 605</v>
      </c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281" t="s">
        <v>139</v>
      </c>
      <c r="P47" s="281"/>
      <c r="Q47" s="281"/>
      <c r="R47" s="281"/>
      <c r="S47" s="281"/>
      <c r="T47" s="281"/>
      <c r="U47" s="281"/>
      <c r="V47" s="59"/>
      <c r="W47" s="59"/>
      <c r="X47" s="59"/>
      <c r="Y47" s="59"/>
      <c r="Z47" s="59"/>
      <c r="AA47" s="59"/>
      <c r="AB47" s="59"/>
      <c r="AC47" s="60"/>
      <c r="AD47" s="270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0"/>
      <c r="AS47" s="140"/>
      <c r="AT47" s="22"/>
      <c r="AU47" s="140"/>
      <c r="AV47" s="140"/>
      <c r="AW47" s="51"/>
      <c r="AX47" s="140"/>
      <c r="AY47" s="51"/>
      <c r="AZ47" s="20"/>
      <c r="BA47" s="20"/>
      <c r="BB47" s="140"/>
      <c r="BC47" s="56"/>
      <c r="BD47" s="56"/>
      <c r="BE47" s="56"/>
      <c r="BF47" s="57"/>
    </row>
    <row r="48" spans="1:58" ht="19.149999999999999" customHeight="1">
      <c r="A48" s="61"/>
      <c r="B48" s="51"/>
      <c r="C48" s="62"/>
      <c r="D48" s="62"/>
      <c r="E48" s="62"/>
      <c r="F48" s="62"/>
      <c r="G48" s="62"/>
      <c r="H48" s="128"/>
      <c r="I48" s="129"/>
      <c r="J48" s="128"/>
      <c r="K48" s="128"/>
      <c r="L48" s="129"/>
      <c r="M48" s="128"/>
      <c r="N48" s="129"/>
      <c r="O48" s="127"/>
      <c r="P48" s="127"/>
      <c r="Q48" s="127"/>
      <c r="R48" s="127"/>
      <c r="S48" s="127"/>
      <c r="T48" s="59"/>
      <c r="U48" s="59"/>
      <c r="V48" s="59"/>
      <c r="W48" s="59"/>
      <c r="X48" s="59"/>
      <c r="Y48" s="59"/>
      <c r="Z48" s="59"/>
      <c r="AA48" s="59"/>
      <c r="AB48" s="59"/>
      <c r="AC48" s="63"/>
      <c r="AD48" s="141"/>
      <c r="AE48" s="140"/>
      <c r="AF48" s="140"/>
      <c r="AG48" s="140"/>
      <c r="AH48" s="140"/>
      <c r="AI48" s="140"/>
      <c r="AJ48" s="22"/>
      <c r="AK48" s="140"/>
      <c r="AL48" s="140"/>
      <c r="AM48" s="140"/>
      <c r="AN48" s="140"/>
      <c r="AO48" s="140"/>
      <c r="AP48" s="140"/>
      <c r="AQ48" s="140"/>
      <c r="AR48" s="140"/>
      <c r="AS48" s="140"/>
      <c r="AT48" s="22"/>
      <c r="AU48" s="140"/>
      <c r="AV48" s="140"/>
      <c r="AW48" s="51"/>
      <c r="AX48" s="140"/>
      <c r="AY48" s="51"/>
      <c r="AZ48" s="20"/>
      <c r="BA48" s="20"/>
      <c r="BB48" s="140"/>
      <c r="BC48" s="56"/>
      <c r="BD48" s="56"/>
      <c r="BE48" s="56"/>
      <c r="BF48" s="57"/>
    </row>
    <row r="49" spans="1:58" ht="19.149999999999999" customHeight="1">
      <c r="A49" s="48" t="s">
        <v>26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55"/>
      <c r="AB49" s="49"/>
      <c r="AC49" s="6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0"/>
      <c r="AU49" s="50"/>
      <c r="AV49" s="50"/>
      <c r="AW49" s="50"/>
      <c r="AX49" s="50"/>
      <c r="AY49" s="50"/>
      <c r="AZ49" s="56"/>
      <c r="BA49" s="56"/>
      <c r="BB49" s="56"/>
      <c r="BC49" s="56"/>
      <c r="BD49" s="56"/>
      <c r="BE49" s="56"/>
      <c r="BF49" s="57"/>
    </row>
    <row r="50" spans="1:58" ht="19.149999999999999" customHeight="1">
      <c r="A50" s="149" t="s">
        <v>230</v>
      </c>
      <c r="B50" s="150"/>
      <c r="C50" s="150"/>
      <c r="D50" s="264" t="s">
        <v>242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6"/>
      <c r="AC50" s="11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0"/>
      <c r="AU50" s="50"/>
      <c r="AV50" s="50"/>
      <c r="AW50" s="50"/>
      <c r="AX50" s="50"/>
      <c r="AY50" s="50"/>
      <c r="AZ50" s="56"/>
      <c r="BA50" s="56"/>
      <c r="BB50" s="56"/>
      <c r="BC50" s="56"/>
      <c r="BD50" s="56"/>
      <c r="BE50" s="56"/>
      <c r="BF50" s="57"/>
    </row>
    <row r="51" spans="1:58" ht="19.149999999999999" customHeight="1">
      <c r="A51" s="144" t="s">
        <v>231</v>
      </c>
      <c r="B51" s="145"/>
      <c r="C51" s="145"/>
      <c r="D51" s="267" t="s">
        <v>270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9"/>
      <c r="AC51" s="116"/>
      <c r="AD51" s="51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1"/>
      <c r="AU51" s="51"/>
      <c r="AV51" s="51"/>
      <c r="AW51" s="51"/>
      <c r="AX51" s="51"/>
      <c r="AY51" s="51"/>
      <c r="AZ51" s="20"/>
      <c r="BA51" s="20"/>
      <c r="BB51" s="56"/>
      <c r="BC51" s="56"/>
      <c r="BD51" s="56"/>
      <c r="BE51" s="56"/>
      <c r="BF51" s="57"/>
    </row>
    <row r="52" spans="1:58" ht="19.149999999999999" customHeight="1">
      <c r="A52" s="61"/>
      <c r="B52" s="28"/>
      <c r="C52" s="140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66"/>
      <c r="AD52" s="51"/>
      <c r="AE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1"/>
      <c r="AU52" s="51"/>
      <c r="AV52" s="51"/>
      <c r="AW52" s="51"/>
      <c r="AX52" s="51"/>
      <c r="AY52" s="51"/>
      <c r="AZ52" s="20"/>
      <c r="BA52" s="20"/>
      <c r="BB52" s="56"/>
      <c r="BC52" s="56"/>
      <c r="BD52" s="56"/>
      <c r="BE52" s="56"/>
      <c r="BF52" s="57"/>
    </row>
    <row r="53" spans="1:58" ht="19.149999999999999" customHeight="1">
      <c r="A53" s="6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66"/>
      <c r="AD53" s="170" t="s">
        <v>27</v>
      </c>
      <c r="AE53" s="170"/>
      <c r="AF53" s="170"/>
      <c r="AG53" s="170"/>
      <c r="AH53" s="170"/>
      <c r="AI53" s="170"/>
      <c r="AJ53" s="170"/>
      <c r="AK53" s="170"/>
      <c r="AL53" s="287" t="s">
        <v>262</v>
      </c>
      <c r="AM53" s="287"/>
      <c r="AN53" s="287"/>
      <c r="AO53" s="287"/>
      <c r="AP53" s="287"/>
      <c r="AQ53" s="287"/>
      <c r="AR53" s="287"/>
      <c r="AS53" s="170" t="s">
        <v>28</v>
      </c>
      <c r="AT53" s="170"/>
      <c r="AU53" s="170"/>
      <c r="AV53" s="170"/>
      <c r="AW53" s="170"/>
      <c r="AX53" s="170"/>
      <c r="AY53" s="170"/>
      <c r="AZ53" s="288">
        <v>10</v>
      </c>
      <c r="BA53" s="289"/>
      <c r="BB53" s="289"/>
      <c r="BC53" s="289"/>
      <c r="BD53" s="289"/>
      <c r="BE53" s="290" t="s">
        <v>55</v>
      </c>
      <c r="BF53" s="291"/>
    </row>
    <row r="54" spans="1:58" ht="19.149999999999999" customHeight="1">
      <c r="A54" s="6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69"/>
      <c r="AD54" s="170"/>
      <c r="AE54" s="170"/>
      <c r="AF54" s="170"/>
      <c r="AG54" s="170"/>
      <c r="AH54" s="170"/>
      <c r="AI54" s="170"/>
      <c r="AJ54" s="170"/>
      <c r="AK54" s="170"/>
      <c r="AL54" s="287"/>
      <c r="AM54" s="287"/>
      <c r="AN54" s="287"/>
      <c r="AO54" s="287"/>
      <c r="AP54" s="287"/>
      <c r="AQ54" s="287"/>
      <c r="AR54" s="287"/>
      <c r="AS54" s="170"/>
      <c r="AT54" s="170"/>
      <c r="AU54" s="170"/>
      <c r="AV54" s="170"/>
      <c r="AW54" s="170"/>
      <c r="AX54" s="170"/>
      <c r="AY54" s="170"/>
      <c r="AZ54" s="278"/>
      <c r="BA54" s="279"/>
      <c r="BB54" s="279"/>
      <c r="BC54" s="279"/>
      <c r="BD54" s="279"/>
      <c r="BE54" s="292"/>
      <c r="BF54" s="293"/>
    </row>
    <row r="55" spans="1:58" s="22" customFormat="1" ht="27" customHeight="1" thickBot="1">
      <c r="A55" s="12"/>
      <c r="B55" s="13" t="s">
        <v>29</v>
      </c>
      <c r="C55" s="14"/>
      <c r="D55" s="14"/>
      <c r="E55" s="235"/>
      <c r="F55" s="235"/>
      <c r="G55" s="235"/>
      <c r="H55" s="23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3" t="s">
        <v>30</v>
      </c>
      <c r="V55" s="14"/>
      <c r="W55" s="14"/>
      <c r="X55" s="235"/>
      <c r="Y55" s="235"/>
      <c r="Z55" s="235"/>
      <c r="AA55" s="235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3" t="s">
        <v>31</v>
      </c>
      <c r="AP55" s="14"/>
      <c r="AQ55" s="14"/>
      <c r="AR55" s="235"/>
      <c r="AS55" s="235"/>
      <c r="AT55" s="235"/>
      <c r="AU55" s="235"/>
      <c r="AV55" s="14"/>
      <c r="AW55" s="14"/>
      <c r="AX55" s="14"/>
      <c r="AY55" s="14"/>
      <c r="AZ55" s="15"/>
      <c r="BA55" s="15"/>
      <c r="BB55" s="15"/>
      <c r="BC55" s="15"/>
      <c r="BD55" s="14"/>
      <c r="BE55" s="14"/>
      <c r="BF55" s="16"/>
    </row>
    <row r="56" spans="1:58">
      <c r="A56" s="1" t="s">
        <v>272</v>
      </c>
    </row>
  </sheetData>
  <sheetProtection selectLockedCells="1"/>
  <protectedRanges>
    <protectedRange sqref="AZ1:BF3 I3 W3 AL3 I5:AA8 I9:I10 AS5:BC10 AZ42:AZ43 AL53 AZ53 AD45:BF45 AX12 BA29 AD47:BF52 AK46:BF46 H12:AH26 H30:AH43" name="区域1"/>
  </protectedRanges>
  <mergeCells count="106">
    <mergeCell ref="A1:AR2"/>
    <mergeCell ref="AS1:AY1"/>
    <mergeCell ref="AZ1:BF1"/>
    <mergeCell ref="AS2:AY2"/>
    <mergeCell ref="AZ2:BF2"/>
    <mergeCell ref="A3:H3"/>
    <mergeCell ref="I3:O3"/>
    <mergeCell ref="P3:V3"/>
    <mergeCell ref="W3:AC3"/>
    <mergeCell ref="AD3:AK3"/>
    <mergeCell ref="A6:H6"/>
    <mergeCell ref="I6:AA6"/>
    <mergeCell ref="AB6:AC6"/>
    <mergeCell ref="AD6:AR6"/>
    <mergeCell ref="AS6:BC6"/>
    <mergeCell ref="BD6:BF6"/>
    <mergeCell ref="AL3:AR3"/>
    <mergeCell ref="AS3:AY3"/>
    <mergeCell ref="AZ3:BF3"/>
    <mergeCell ref="A4:BF4"/>
    <mergeCell ref="A5:H5"/>
    <mergeCell ref="I5:AA5"/>
    <mergeCell ref="AB5:AC5"/>
    <mergeCell ref="AD5:AR5"/>
    <mergeCell ref="AS5:BC5"/>
    <mergeCell ref="BD5:BF5"/>
    <mergeCell ref="A8:H8"/>
    <mergeCell ref="I8:AA8"/>
    <mergeCell ref="AB8:AC8"/>
    <mergeCell ref="AD8:AR8"/>
    <mergeCell ref="AS8:BC8"/>
    <mergeCell ref="BD8:BF8"/>
    <mergeCell ref="A7:H7"/>
    <mergeCell ref="I7:AA7"/>
    <mergeCell ref="AB7:AC7"/>
    <mergeCell ref="AD7:AR7"/>
    <mergeCell ref="AS7:BC7"/>
    <mergeCell ref="BD7:BF7"/>
    <mergeCell ref="BD9:BF9"/>
    <mergeCell ref="A10:H10"/>
    <mergeCell ref="I10:R10"/>
    <mergeCell ref="S10:AA10"/>
    <mergeCell ref="AB10:AC10"/>
    <mergeCell ref="AD10:AR10"/>
    <mergeCell ref="AS10:BC10"/>
    <mergeCell ref="BD10:BF10"/>
    <mergeCell ref="A9:H9"/>
    <mergeCell ref="I9:R9"/>
    <mergeCell ref="S9:AA9"/>
    <mergeCell ref="AB9:AC9"/>
    <mergeCell ref="AD9:AR9"/>
    <mergeCell ref="AS9:BC9"/>
    <mergeCell ref="AF11:AG11"/>
    <mergeCell ref="AH11:AI11"/>
    <mergeCell ref="B13:C24"/>
    <mergeCell ref="AM16:AM18"/>
    <mergeCell ref="AM19:AM23"/>
    <mergeCell ref="G27:H27"/>
    <mergeCell ref="I27:J27"/>
    <mergeCell ref="K27:L27"/>
    <mergeCell ref="M27:N27"/>
    <mergeCell ref="O27:P27"/>
    <mergeCell ref="S11:T11"/>
    <mergeCell ref="V11:W11"/>
    <mergeCell ref="X11:Y11"/>
    <mergeCell ref="Z11:AA11"/>
    <mergeCell ref="AB11:AC11"/>
    <mergeCell ref="AD11:AE11"/>
    <mergeCell ref="G11:H11"/>
    <mergeCell ref="I11:J11"/>
    <mergeCell ref="K11:L11"/>
    <mergeCell ref="M11:N11"/>
    <mergeCell ref="O11:P11"/>
    <mergeCell ref="Q11:R11"/>
    <mergeCell ref="B31:C41"/>
    <mergeCell ref="AS41:AY42"/>
    <mergeCell ref="AZ41:BF42"/>
    <mergeCell ref="Q27:R27"/>
    <mergeCell ref="S27:T27"/>
    <mergeCell ref="V27:W27"/>
    <mergeCell ref="X27:Y27"/>
    <mergeCell ref="Z27:AA27"/>
    <mergeCell ref="AB27:AC27"/>
    <mergeCell ref="AS43:AY43"/>
    <mergeCell ref="AZ43:BF44"/>
    <mergeCell ref="AS44:AY44"/>
    <mergeCell ref="D46:N46"/>
    <mergeCell ref="O46:U46"/>
    <mergeCell ref="D47:N47"/>
    <mergeCell ref="O47:U47"/>
    <mergeCell ref="AD47:AQ47"/>
    <mergeCell ref="AD27:AE27"/>
    <mergeCell ref="AF27:AG27"/>
    <mergeCell ref="AH27:AI27"/>
    <mergeCell ref="AS53:AY54"/>
    <mergeCell ref="AZ53:BD54"/>
    <mergeCell ref="BE53:BF54"/>
    <mergeCell ref="E55:H55"/>
    <mergeCell ref="X55:AA55"/>
    <mergeCell ref="AR55:AU55"/>
    <mergeCell ref="A50:C50"/>
    <mergeCell ref="D50:AB50"/>
    <mergeCell ref="A51:C51"/>
    <mergeCell ref="D51:AB51"/>
    <mergeCell ref="AD53:AK54"/>
    <mergeCell ref="AL53:AR54"/>
  </mergeCells>
  <phoneticPr fontId="2" type="noConversion"/>
  <conditionalFormatting sqref="N18">
    <cfRule type="expression" dxfId="116" priority="102">
      <formula>AND($AZ$2&lt;&gt;"4-100")</formula>
    </cfRule>
  </conditionalFormatting>
  <conditionalFormatting sqref="O18:R18">
    <cfRule type="expression" dxfId="115" priority="101">
      <formula>AND($AZ$2&lt;&gt;"4-100")</formula>
    </cfRule>
  </conditionalFormatting>
  <conditionalFormatting sqref="S18">
    <cfRule type="expression" dxfId="114" priority="100">
      <formula>AND($AZ$2&lt;&gt;"4-100")</formula>
    </cfRule>
  </conditionalFormatting>
  <conditionalFormatting sqref="N19">
    <cfRule type="expression" dxfId="113" priority="99">
      <formula>AND($AZ$2&lt;&gt;"4-100")</formula>
    </cfRule>
  </conditionalFormatting>
  <conditionalFormatting sqref="N20">
    <cfRule type="expression" dxfId="112" priority="98">
      <formula>AND($AZ$2&lt;&gt;"4-100")</formula>
    </cfRule>
  </conditionalFormatting>
  <conditionalFormatting sqref="O20:R20">
    <cfRule type="expression" dxfId="111" priority="97">
      <formula>AND($AZ$2&lt;&gt;"4-100")</formula>
    </cfRule>
  </conditionalFormatting>
  <conditionalFormatting sqref="S20">
    <cfRule type="expression" dxfId="110" priority="96">
      <formula>AND($AZ$2&lt;&gt;"4-100")</formula>
    </cfRule>
  </conditionalFormatting>
  <conditionalFormatting sqref="S19">
    <cfRule type="expression" dxfId="109" priority="95">
      <formula>AND($AZ$2&lt;&gt;"4-100")</formula>
    </cfRule>
  </conditionalFormatting>
  <conditionalFormatting sqref="W18">
    <cfRule type="expression" dxfId="108" priority="94">
      <formula>AND($AZ$2&lt;&gt;"4-100")</formula>
    </cfRule>
  </conditionalFormatting>
  <conditionalFormatting sqref="X18:AA18">
    <cfRule type="expression" dxfId="107" priority="93">
      <formula>AND($AZ$2&lt;&gt;"4-100")</formula>
    </cfRule>
  </conditionalFormatting>
  <conditionalFormatting sqref="AB18">
    <cfRule type="expression" dxfId="106" priority="92">
      <formula>AND($AZ$2&lt;&gt;"4-100")</formula>
    </cfRule>
  </conditionalFormatting>
  <conditionalFormatting sqref="W19">
    <cfRule type="expression" dxfId="105" priority="91">
      <formula>AND($AZ$2&lt;&gt;"4-100")</formula>
    </cfRule>
  </conditionalFormatting>
  <conditionalFormatting sqref="W20">
    <cfRule type="expression" dxfId="104" priority="90">
      <formula>AND($AZ$2&lt;&gt;"4-100")</formula>
    </cfRule>
  </conditionalFormatting>
  <conditionalFormatting sqref="X20:AA20">
    <cfRule type="expression" dxfId="103" priority="89">
      <formula>AND($AZ$2&lt;&gt;"4-100")</formula>
    </cfRule>
  </conditionalFormatting>
  <conditionalFormatting sqref="AB20">
    <cfRule type="expression" dxfId="102" priority="88">
      <formula>AND($AZ$2&lt;&gt;"4-100")</formula>
    </cfRule>
  </conditionalFormatting>
  <conditionalFormatting sqref="AB19">
    <cfRule type="expression" dxfId="101" priority="87">
      <formula>AND($AZ$2&lt;&gt;"4-100")</formula>
    </cfRule>
  </conditionalFormatting>
  <conditionalFormatting sqref="H30:AH43">
    <cfRule type="expression" dxfId="100" priority="86">
      <formula>AND(H30=$BI$4)</formula>
    </cfRule>
  </conditionalFormatting>
  <conditionalFormatting sqref="J13">
    <cfRule type="expression" dxfId="99" priority="82">
      <formula>J13=""</formula>
    </cfRule>
    <cfRule type="expression" dxfId="98" priority="85">
      <formula>AND(J13=$BI$2)</formula>
    </cfRule>
  </conditionalFormatting>
  <conditionalFormatting sqref="K13">
    <cfRule type="expression" dxfId="97" priority="45">
      <formula>K13=""</formula>
    </cfRule>
    <cfRule type="expression" dxfId="96" priority="84">
      <formula>AND(K13=$BI$2)</formula>
    </cfRule>
  </conditionalFormatting>
  <conditionalFormatting sqref="I5:AA8 I3:O3 W3:AC3 AS6:BC8 I9:R10">
    <cfRule type="containsBlanks" dxfId="95" priority="105">
      <formula>LEN(TRIM(I3))=0</formula>
    </cfRule>
  </conditionalFormatting>
  <conditionalFormatting sqref="AL3:AR3">
    <cfRule type="containsBlanks" dxfId="94" priority="104">
      <formula>LEN(TRIM(AL3))=0</formula>
    </cfRule>
  </conditionalFormatting>
  <conditionalFormatting sqref="AZ1:BF1">
    <cfRule type="containsBlanks" dxfId="93" priority="103">
      <formula>LEN(TRIM(AZ1))=0</formula>
    </cfRule>
  </conditionalFormatting>
  <conditionalFormatting sqref="AZ2:BF2">
    <cfRule type="containsBlanks" dxfId="92" priority="106">
      <formula>LEN(TRIM(AZ2))=0</formula>
    </cfRule>
  </conditionalFormatting>
  <conditionalFormatting sqref="AZ3:BF3">
    <cfRule type="containsBlanks" dxfId="91" priority="107">
      <formula>LEN(TRIM(AZ3))=0</formula>
    </cfRule>
  </conditionalFormatting>
  <conditionalFormatting sqref="AZ41">
    <cfRule type="containsBlanks" dxfId="90" priority="108">
      <formula>LEN(TRIM(AZ41))=0</formula>
    </cfRule>
  </conditionalFormatting>
  <conditionalFormatting sqref="AZ43">
    <cfRule type="containsBlanks" dxfId="89" priority="109">
      <formula>LEN(TRIM(AZ43))=0</formula>
    </cfRule>
  </conditionalFormatting>
  <conditionalFormatting sqref="D46:N46">
    <cfRule type="containsBlanks" dxfId="88" priority="110">
      <formula>LEN(TRIM(D46))=0</formula>
    </cfRule>
  </conditionalFormatting>
  <conditionalFormatting sqref="O46:U46">
    <cfRule type="containsBlanks" dxfId="87" priority="112">
      <formula>LEN(TRIM(O46))=0</formula>
    </cfRule>
  </conditionalFormatting>
  <conditionalFormatting sqref="O47:U47">
    <cfRule type="containsBlanks" dxfId="86" priority="113">
      <formula>LEN(TRIM(O47))=0</formula>
    </cfRule>
  </conditionalFormatting>
  <conditionalFormatting sqref="D47:N47">
    <cfRule type="containsBlanks" dxfId="85" priority="111">
      <formula>LEN(TRIM(D47))=0</formula>
    </cfRule>
  </conditionalFormatting>
  <conditionalFormatting sqref="D51:AB51">
    <cfRule type="containsBlanks" dxfId="84" priority="114">
      <formula>LEN(TRIM(D51))=0</formula>
    </cfRule>
  </conditionalFormatting>
  <conditionalFormatting sqref="AI46">
    <cfRule type="containsBlanks" dxfId="83" priority="117">
      <formula>LEN(TRIM(AI46))=0</formula>
    </cfRule>
  </conditionalFormatting>
  <conditionalFormatting sqref="AL53:AR54">
    <cfRule type="containsBlanks" dxfId="82" priority="115">
      <formula>LEN(TRIM(AL53))=0</formula>
    </cfRule>
  </conditionalFormatting>
  <conditionalFormatting sqref="AZ53:BD54">
    <cfRule type="containsBlanks" dxfId="81" priority="116">
      <formula>LEN(TRIM(AZ53))=0</formula>
    </cfRule>
  </conditionalFormatting>
  <conditionalFormatting sqref="H30:AH42">
    <cfRule type="expression" dxfId="80" priority="83">
      <formula>H30=""</formula>
    </cfRule>
  </conditionalFormatting>
  <conditionalFormatting sqref="J14">
    <cfRule type="expression" dxfId="79" priority="80">
      <formula>J14=""</formula>
    </cfRule>
    <cfRule type="expression" dxfId="78" priority="81">
      <formula>AND(J14=$BI$2)</formula>
    </cfRule>
  </conditionalFormatting>
  <conditionalFormatting sqref="J24">
    <cfRule type="expression" dxfId="77" priority="78">
      <formula>J24=""</formula>
    </cfRule>
    <cfRule type="expression" dxfId="76" priority="79">
      <formula>AND(J24=$BI$2)</formula>
    </cfRule>
  </conditionalFormatting>
  <conditionalFormatting sqref="J25">
    <cfRule type="expression" dxfId="75" priority="76">
      <formula>J25=""</formula>
    </cfRule>
    <cfRule type="expression" dxfId="74" priority="77">
      <formula>AND(J25=$BI$2)</formula>
    </cfRule>
  </conditionalFormatting>
  <conditionalFormatting sqref="L13">
    <cfRule type="expression" dxfId="73" priority="74">
      <formula>L13=""</formula>
    </cfRule>
    <cfRule type="expression" dxfId="72" priority="75">
      <formula>AND(L13=$BI$2)</formula>
    </cfRule>
  </conditionalFormatting>
  <conditionalFormatting sqref="P13">
    <cfRule type="expression" dxfId="71" priority="72">
      <formula>P13=""</formula>
    </cfRule>
    <cfRule type="expression" dxfId="70" priority="73">
      <formula>AND(P13=$BI$2)</formula>
    </cfRule>
  </conditionalFormatting>
  <conditionalFormatting sqref="P14">
    <cfRule type="expression" dxfId="69" priority="70">
      <formula>P14=""</formula>
    </cfRule>
    <cfRule type="expression" dxfId="68" priority="71">
      <formula>AND(P14=$BI$2)</formula>
    </cfRule>
  </conditionalFormatting>
  <conditionalFormatting sqref="P24">
    <cfRule type="expression" dxfId="67" priority="68">
      <formula>P24=""</formula>
    </cfRule>
    <cfRule type="expression" dxfId="66" priority="69">
      <formula>AND(P24=$BI$2)</formula>
    </cfRule>
  </conditionalFormatting>
  <conditionalFormatting sqref="P25">
    <cfRule type="expression" dxfId="65" priority="66">
      <formula>P25=""</formula>
    </cfRule>
    <cfRule type="expression" dxfId="64" priority="67">
      <formula>AND(P25=$BI$2)</formula>
    </cfRule>
  </conditionalFormatting>
  <conditionalFormatting sqref="L25">
    <cfRule type="expression" dxfId="63" priority="64">
      <formula>L25=""</formula>
    </cfRule>
    <cfRule type="expression" dxfId="62" priority="65">
      <formula>AND(L25=$BI$2)</formula>
    </cfRule>
  </conditionalFormatting>
  <conditionalFormatting sqref="T14">
    <cfRule type="expression" dxfId="61" priority="62">
      <formula>T14=""</formula>
    </cfRule>
    <cfRule type="expression" dxfId="60" priority="63">
      <formula>AND(T14=$BI$2)</formula>
    </cfRule>
  </conditionalFormatting>
  <conditionalFormatting sqref="T24">
    <cfRule type="expression" dxfId="59" priority="60">
      <formula>T24=""</formula>
    </cfRule>
    <cfRule type="expression" dxfId="58" priority="61">
      <formula>AND(T24=$BI$2)</formula>
    </cfRule>
  </conditionalFormatting>
  <conditionalFormatting sqref="AA13">
    <cfRule type="expression" dxfId="57" priority="58">
      <formula>AA13=""</formula>
    </cfRule>
    <cfRule type="expression" dxfId="56" priority="59">
      <formula>AND(AA13=$BI$2)</formula>
    </cfRule>
  </conditionalFormatting>
  <conditionalFormatting sqref="AC12">
    <cfRule type="expression" dxfId="55" priority="4">
      <formula>$AZ$2&lt;&gt;"6-300"</formula>
    </cfRule>
    <cfRule type="expression" dxfId="54" priority="56">
      <formula>AC12=""</formula>
    </cfRule>
    <cfRule type="expression" dxfId="53" priority="57">
      <formula>AND(AC12=$BI$2)</formula>
    </cfRule>
  </conditionalFormatting>
  <conditionalFormatting sqref="AC13">
    <cfRule type="expression" dxfId="52" priority="54">
      <formula>AC13=""</formula>
    </cfRule>
    <cfRule type="expression" dxfId="51" priority="55">
      <formula>AND(AC13=$BI$2)</formula>
    </cfRule>
  </conditionalFormatting>
  <conditionalFormatting sqref="AE13">
    <cfRule type="expression" dxfId="50" priority="52">
      <formula>AE13=""</formula>
    </cfRule>
    <cfRule type="expression" dxfId="49" priority="53">
      <formula>AND(AE13=$BI$2)</formula>
    </cfRule>
  </conditionalFormatting>
  <conditionalFormatting sqref="AC25">
    <cfRule type="expression" dxfId="48" priority="50">
      <formula>AC25=""</formula>
    </cfRule>
    <cfRule type="expression" dxfId="47" priority="51">
      <formula>AND(AC25=$BI$2)</formula>
    </cfRule>
  </conditionalFormatting>
  <conditionalFormatting sqref="AE25">
    <cfRule type="expression" dxfId="46" priority="48">
      <formula>AE25=""</formula>
    </cfRule>
    <cfRule type="expression" dxfId="45" priority="49">
      <formula>AND(AE25=$BI$2)</formula>
    </cfRule>
  </conditionalFormatting>
  <conditionalFormatting sqref="AA25">
    <cfRule type="expression" dxfId="44" priority="46">
      <formula>AA25=""</formula>
    </cfRule>
    <cfRule type="expression" dxfId="43" priority="47">
      <formula>AND(AA25=$BI$2)</formula>
    </cfRule>
  </conditionalFormatting>
  <conditionalFormatting sqref="K25">
    <cfRule type="expression" dxfId="42" priority="43">
      <formula>K25=""</formula>
    </cfRule>
    <cfRule type="expression" dxfId="41" priority="44">
      <formula>AND(K25=$BI$2)</formula>
    </cfRule>
  </conditionalFormatting>
  <conditionalFormatting sqref="M12">
    <cfRule type="expression" dxfId="40" priority="8">
      <formula>$AZ$2&lt;&gt;"6-300"</formula>
    </cfRule>
    <cfRule type="expression" dxfId="39" priority="41">
      <formula>M12=""</formula>
    </cfRule>
    <cfRule type="expression" dxfId="38" priority="42">
      <formula>AND(M12=$BI$2)</formula>
    </cfRule>
  </conditionalFormatting>
  <conditionalFormatting sqref="M13">
    <cfRule type="expression" dxfId="37" priority="39">
      <formula>M13=""</formula>
    </cfRule>
    <cfRule type="expression" dxfId="36" priority="40">
      <formula>AND(M13=$BI$2)</formula>
    </cfRule>
  </conditionalFormatting>
  <conditionalFormatting sqref="M25">
    <cfRule type="expression" dxfId="35" priority="37">
      <formula>M25=""</formula>
    </cfRule>
    <cfRule type="expression" dxfId="34" priority="38">
      <formula>AND(M25=$BI$2)</formula>
    </cfRule>
  </conditionalFormatting>
  <conditionalFormatting sqref="O13">
    <cfRule type="expression" dxfId="33" priority="35">
      <formula>O13=""</formula>
    </cfRule>
    <cfRule type="expression" dxfId="32" priority="36">
      <formula>AND(O13=$BI$2)</formula>
    </cfRule>
  </conditionalFormatting>
  <conditionalFormatting sqref="O25">
    <cfRule type="expression" dxfId="31" priority="33">
      <formula>O25=""</formula>
    </cfRule>
    <cfRule type="expression" dxfId="30" priority="34">
      <formula>AND(O25=$BI$2)</formula>
    </cfRule>
  </conditionalFormatting>
  <conditionalFormatting sqref="V14">
    <cfRule type="expression" dxfId="29" priority="31">
      <formula>V14=""</formula>
    </cfRule>
    <cfRule type="expression" dxfId="28" priority="32">
      <formula>AND(V14=$BI$2)</formula>
    </cfRule>
  </conditionalFormatting>
  <conditionalFormatting sqref="V24">
    <cfRule type="expression" dxfId="27" priority="29">
      <formula>V24=""</formula>
    </cfRule>
    <cfRule type="expression" dxfId="26" priority="30">
      <formula>AND(V24=$BI$2)</formula>
    </cfRule>
  </conditionalFormatting>
  <conditionalFormatting sqref="Z13">
    <cfRule type="expression" dxfId="25" priority="27">
      <formula>Z13=""</formula>
    </cfRule>
    <cfRule type="expression" dxfId="24" priority="28">
      <formula>AND(Z13=$BI$2)</formula>
    </cfRule>
  </conditionalFormatting>
  <conditionalFormatting sqref="Z14">
    <cfRule type="expression" dxfId="23" priority="25">
      <formula>Z14=""</formula>
    </cfRule>
    <cfRule type="expression" dxfId="22" priority="26">
      <formula>AND(Z14=$BI$2)</formula>
    </cfRule>
  </conditionalFormatting>
  <conditionalFormatting sqref="Z24">
    <cfRule type="expression" dxfId="21" priority="23">
      <formula>Z24=""</formula>
    </cfRule>
    <cfRule type="expression" dxfId="20" priority="24">
      <formula>AND(Z24=$BI$2)</formula>
    </cfRule>
  </conditionalFormatting>
  <conditionalFormatting sqref="Z25">
    <cfRule type="expression" dxfId="19" priority="21">
      <formula>Z25=""</formula>
    </cfRule>
    <cfRule type="expression" dxfId="18" priority="22">
      <formula>AND(Z25=$BI$2)</formula>
    </cfRule>
  </conditionalFormatting>
  <conditionalFormatting sqref="AD13">
    <cfRule type="expression" dxfId="17" priority="19">
      <formula>AD13=""</formula>
    </cfRule>
    <cfRule type="expression" dxfId="16" priority="20">
      <formula>AND(AD13=$BI$2)</formula>
    </cfRule>
  </conditionalFormatting>
  <conditionalFormatting sqref="AD25">
    <cfRule type="expression" dxfId="15" priority="17">
      <formula>AD25=""</formula>
    </cfRule>
    <cfRule type="expression" dxfId="14" priority="18">
      <formula>AND(AD25=$BI$2)</formula>
    </cfRule>
  </conditionalFormatting>
  <conditionalFormatting sqref="AF13">
    <cfRule type="expression" dxfId="13" priority="15">
      <formula>AF13=""</formula>
    </cfRule>
    <cfRule type="expression" dxfId="12" priority="16">
      <formula>AND(AF13=$BI$2)</formula>
    </cfRule>
  </conditionalFormatting>
  <conditionalFormatting sqref="AF14">
    <cfRule type="expression" dxfId="11" priority="13">
      <formula>AF14=""</formula>
    </cfRule>
    <cfRule type="expression" dxfId="10" priority="14">
      <formula>AND(AF14=$BI$2)</formula>
    </cfRule>
  </conditionalFormatting>
  <conditionalFormatting sqref="AF24">
    <cfRule type="expression" dxfId="9" priority="11">
      <formula>AF24=""</formula>
    </cfRule>
    <cfRule type="expression" dxfId="8" priority="12">
      <formula>AND(AF24=$BI$2)</formula>
    </cfRule>
  </conditionalFormatting>
  <conditionalFormatting sqref="AF25">
    <cfRule type="expression" dxfId="7" priority="9">
      <formula>AF25=""</formula>
    </cfRule>
    <cfRule type="expression" dxfId="6" priority="10">
      <formula>AND(AF25=$BI$2)</formula>
    </cfRule>
  </conditionalFormatting>
  <conditionalFormatting sqref="M26">
    <cfRule type="expression" dxfId="5" priority="5">
      <formula>$AZ$2&lt;&gt;"6-300"</formula>
    </cfRule>
    <cfRule type="expression" dxfId="4" priority="6">
      <formula>M26=""</formula>
    </cfRule>
    <cfRule type="expression" dxfId="3" priority="7">
      <formula>AND(M26=$BI$2)</formula>
    </cfRule>
  </conditionalFormatting>
  <conditionalFormatting sqref="AC26">
    <cfRule type="expression" dxfId="2" priority="1">
      <formula>$AZ$2&lt;&gt;"6-300"</formula>
    </cfRule>
    <cfRule type="expression" dxfId="1" priority="2">
      <formula>AC26=""</formula>
    </cfRule>
    <cfRule type="expression" dxfId="0" priority="3">
      <formula>AND(AC26=$BI$2)</formula>
    </cfRule>
  </conditionalFormatting>
  <dataValidations count="9">
    <dataValidation type="list" allowBlank="1" showInputMessage="1" showErrorMessage="1" sqref="AZ2:BF2">
      <formula1>$BH$2:$BH$9</formula1>
    </dataValidation>
    <dataValidation type="list" allowBlank="1" showInputMessage="1" showErrorMessage="1" sqref="AZ3:BF3">
      <formula1>$BK$2:$BK$6</formula1>
    </dataValidation>
    <dataValidation type="list" allowBlank="1" showInputMessage="1" showErrorMessage="1" sqref="O46:U47">
      <formula1>$BL$2:$BL$8</formula1>
    </dataValidation>
    <dataValidation type="list" allowBlank="1" showInputMessage="1" showErrorMessage="1" sqref="M25:M26 J13:J14 J24:J25 K13:L13 O13:P13 P14 T14 V14 Z13:Z14 AA13 AC13:AF13 AF24:AF25 AC25:AE25 AA25 Z24:Z25 V24 T24 P24 O25:P25 K25:L25 M12:M13 AC12 AC26 AF14">
      <formula1>$BI$2:$BI$3</formula1>
    </dataValidation>
    <dataValidation type="list" allowBlank="1" showInputMessage="1" showErrorMessage="1" sqref="I6:AA6">
      <formula1>$BN$2:$BN$11</formula1>
    </dataValidation>
    <dataValidation type="list" allowBlank="1" showInputMessage="1" showErrorMessage="1" sqref="AL53:AR54">
      <formula1>$BO$2:$BO$6</formula1>
    </dataValidation>
    <dataValidation type="list" allowBlank="1" showInputMessage="1" showErrorMessage="1" sqref="BD10:BF10">
      <formula1>$BP$2:$BP$3</formula1>
    </dataValidation>
    <dataValidation type="list" allowBlank="1" showInputMessage="1" showErrorMessage="1" sqref="D51:AB51">
      <formula1>$BR$2:$BR$4</formula1>
    </dataValidation>
    <dataValidation type="list" allowBlank="1" showInputMessage="1" showErrorMessage="1" sqref="H30:AH43">
      <formula1>$BI$3:$BI$4</formula1>
    </dataValidation>
  </dataValidations>
  <printOptions horizontalCentered="1" verticalCentered="1"/>
  <pageMargins left="0.35433070866141736" right="0.35433070866141736" top="0.43307086614173229" bottom="0.47244094488188981" header="0.31496062992125984" footer="0.27559055118110237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（单动-高速压机OP20）</vt:lpstr>
      <vt:lpstr>单动-高速压机OP30</vt:lpstr>
      <vt:lpstr>单动-高速压机OP40</vt:lpstr>
      <vt:lpstr>单动-高速压机OP50</vt:lpstr>
      <vt:lpstr>单动-高速压机OP60</vt:lpstr>
      <vt:lpstr>单动-高速压机OP70</vt:lpstr>
      <vt:lpstr>'（单动-高速压机OP20）'!Print_Area</vt:lpstr>
      <vt:lpstr>'单动-高速压机OP30'!Print_Area</vt:lpstr>
      <vt:lpstr>'单动-高速压机OP40'!Print_Area</vt:lpstr>
      <vt:lpstr>'单动-高速压机OP50'!Print_Area</vt:lpstr>
      <vt:lpstr>'单动-高速压机OP60'!Print_Area</vt:lpstr>
      <vt:lpstr>'单动-高速压机OP70'!Print_Area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jirong</dc:creator>
  <cp:lastModifiedBy>Jin Long2 (SVW PFSY-1)</cp:lastModifiedBy>
  <cp:lastPrinted>2022-08-02T10:50:45Z</cp:lastPrinted>
  <dcterms:created xsi:type="dcterms:W3CDTF">2016-06-02T13:49:54Z</dcterms:created>
  <dcterms:modified xsi:type="dcterms:W3CDTF">2022-08-02T10:56:29Z</dcterms:modified>
</cp:coreProperties>
</file>